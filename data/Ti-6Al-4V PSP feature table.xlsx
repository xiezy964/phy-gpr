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601"/>
  <workbookPr/>
  <mc:AlternateContent xmlns:mc="http://schemas.openxmlformats.org/markup-compatibility/2006">
    <mc:Choice Requires="x15">
      <x15ac:absPath xmlns:x15ac="http://schemas.microsoft.com/office/spreadsheetml/2010/11/ac" url="https://pennstateoffice365-my.sharepoint.com/personal/qkl5094_psu_edu/Documents/2021Spring/project/Paper_Ti64/Ti6Al4V PSP linkage/Zenodo updates/Sep 2022/"/>
    </mc:Choice>
  </mc:AlternateContent>
  <xr:revisionPtr revIDLastSave="0" documentId="8_{F128D130-BE0B-4684-A5FC-1F1A60EB6952}" xr6:coauthVersionLast="47" xr6:coauthVersionMax="47" xr10:uidLastSave="{00000000-0000-0000-0000-000000000000}"/>
  <bookViews>
    <workbookView xWindow="-110" yWindow="-110" windowWidth="38620" windowHeight="21220" xr2:uid="{00000000-000D-0000-FFFF-FFFF00000000}"/>
  </bookViews>
  <sheets>
    <sheet name="PSP linkage" sheetId="1" r:id="rId1"/>
  </sheets>
  <definedNames>
    <definedName name="_xlnm.Print_Area" localSheetId="0">'PSP linkage'!$B$3:$AQ$48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8" i="1" l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7" i="1"/>
  <c r="G48" i="1"/>
  <c r="E48" i="1"/>
  <c r="G47" i="1"/>
  <c r="E47" i="1"/>
  <c r="G46" i="1"/>
  <c r="E46" i="1"/>
  <c r="G45" i="1"/>
  <c r="E45" i="1"/>
  <c r="G44" i="1"/>
  <c r="E44" i="1"/>
  <c r="G43" i="1"/>
  <c r="E43" i="1"/>
  <c r="G42" i="1"/>
  <c r="E42" i="1"/>
  <c r="G41" i="1"/>
  <c r="E41" i="1"/>
  <c r="G40" i="1"/>
  <c r="E40" i="1"/>
  <c r="G39" i="1"/>
  <c r="E39" i="1"/>
  <c r="G38" i="1"/>
  <c r="E38" i="1"/>
  <c r="G37" i="1"/>
  <c r="E37" i="1"/>
  <c r="G36" i="1"/>
  <c r="E36" i="1"/>
  <c r="G35" i="1"/>
  <c r="E35" i="1"/>
  <c r="G34" i="1"/>
  <c r="E34" i="1"/>
  <c r="G33" i="1"/>
  <c r="E33" i="1"/>
  <c r="G32" i="1"/>
  <c r="E32" i="1"/>
  <c r="G31" i="1"/>
  <c r="E31" i="1"/>
  <c r="G30" i="1"/>
  <c r="E30" i="1"/>
  <c r="G29" i="1"/>
  <c r="E29" i="1"/>
  <c r="G28" i="1"/>
  <c r="E28" i="1"/>
  <c r="G27" i="1"/>
  <c r="E27" i="1"/>
  <c r="G26" i="1"/>
  <c r="E26" i="1"/>
  <c r="G25" i="1"/>
  <c r="E25" i="1"/>
  <c r="G24" i="1"/>
  <c r="E24" i="1"/>
  <c r="G23" i="1"/>
  <c r="E23" i="1"/>
  <c r="G22" i="1"/>
  <c r="E22" i="1"/>
  <c r="G21" i="1"/>
  <c r="E21" i="1"/>
  <c r="G20" i="1"/>
  <c r="E20" i="1"/>
  <c r="G19" i="1"/>
  <c r="E19" i="1"/>
  <c r="G18" i="1"/>
  <c r="E18" i="1"/>
  <c r="G17" i="1"/>
  <c r="E17" i="1"/>
  <c r="G16" i="1"/>
  <c r="E16" i="1"/>
  <c r="G15" i="1"/>
  <c r="E15" i="1"/>
  <c r="G14" i="1"/>
  <c r="E14" i="1"/>
  <c r="G13" i="1"/>
  <c r="E13" i="1"/>
  <c r="G12" i="1"/>
  <c r="E12" i="1"/>
  <c r="G11" i="1"/>
  <c r="E11" i="1"/>
  <c r="G10" i="1"/>
  <c r="E10" i="1"/>
  <c r="G9" i="1"/>
  <c r="E9" i="1"/>
  <c r="G8" i="1"/>
  <c r="E8" i="1"/>
  <c r="G7" i="1"/>
  <c r="E7" i="1"/>
</calcChain>
</file>

<file path=xl/sharedStrings.xml><?xml version="1.0" encoding="utf-8"?>
<sst xmlns="http://schemas.openxmlformats.org/spreadsheetml/2006/main" count="68" uniqueCount="48">
  <si>
    <t>Processing Data</t>
  </si>
  <si>
    <t>Structural data</t>
  </si>
  <si>
    <t>Mechanical Property Data</t>
  </si>
  <si>
    <t>Parameter Set</t>
  </si>
  <si>
    <t>Processing Parameters</t>
  </si>
  <si>
    <t>P-V related descriptors</t>
  </si>
  <si>
    <t>Unaxial Tensile (UT) Test</t>
  </si>
  <si>
    <t>Yield Strength  (MPa)</t>
  </si>
  <si>
    <t>Ductility, elongation at failure (%)</t>
  </si>
  <si>
    <t>Young's Modulus E (GPa)</t>
  </si>
  <si>
    <t>Power P (W)</t>
  </si>
  <si>
    <t>Speed V (mm/s)</t>
  </si>
  <si>
    <t>LED (J/m)</t>
  </si>
  <si>
    <t>PV (W*m/s)</t>
  </si>
  <si>
    <t xml:space="preserve">Mean Value </t>
  </si>
  <si>
    <t>Standard Deviation</t>
  </si>
  <si>
    <t>D&lt;200 (μm)</t>
  </si>
  <si>
    <t xml:space="preserve"> D=[200, 300)</t>
  </si>
  <si>
    <t xml:space="preserve"> D=[300, 500)</t>
  </si>
  <si>
    <t>D&gt;500</t>
  </si>
  <si>
    <t>Mean Value</t>
  </si>
  <si>
    <t> </t>
  </si>
  <si>
    <t>Ultimate Tensile Strength (MPa)</t>
  </si>
  <si>
    <t xml:space="preserve"> Uniform Elongation (%)</t>
  </si>
  <si>
    <t>Total num</t>
  </si>
  <si>
    <t>P/v^(0.5) (W*m^(-0.5)*s^(0.5))</t>
  </si>
  <si>
    <t>Avg mean</t>
  </si>
  <si>
    <t>Avg std</t>
  </si>
  <si>
    <t>RMS mean</t>
  </si>
  <si>
    <t>RMS std</t>
  </si>
  <si>
    <t>Surface roughness (um) - XCT</t>
  </si>
  <si>
    <t>Porosity (%) - Avizo</t>
  </si>
  <si>
    <t>Equivalent Diameter (μm) - Avizo</t>
  </si>
  <si>
    <t>Pore quantity - Avizo</t>
  </si>
  <si>
    <t>Max (mm2)</t>
  </si>
  <si>
    <t>Total (mm2)</t>
  </si>
  <si>
    <t>Projected Pore area - ImageJ+Matlab</t>
  </si>
  <si>
    <t>Average (um2)</t>
  </si>
  <si>
    <t>Archimedes porosity</t>
  </si>
  <si>
    <t>mean</t>
  </si>
  <si>
    <t>Vicker Hardness Test</t>
  </si>
  <si>
    <t>Pore sphericity - Avizo</t>
  </si>
  <si>
    <t>Copyright</t>
  </si>
  <si>
    <t>Qixiang Luo, Yin Lu, Timothy W. Simpson, &amp; Allison M. Beese. (2022). Effect of processing parameters on pore structures, grain features, and mechanical properties in Ti-6Al-4V by laser powder bed fusion. Additive Manufacturing. https://doi.org/10.1016/j.addma.2022.102915</t>
  </si>
  <si>
    <t>Available on: https://zenodo.org/record/6587905#.YpZAQBCZNvB</t>
  </si>
  <si>
    <t>Grain morphology</t>
  </si>
  <si>
    <t>Grain equvialent diameter (um)</t>
  </si>
  <si>
    <t>Grain aspect ratio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</si>
</sst>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_ "/>
    <numFmt numFmtId="165" formatCode="0.00_ "/>
    <numFmt numFmtId="166" formatCode="0.00000"/>
    <numFmt numFmtId="167" formatCode="0.0000"/>
  </numFmts>
  <fonts count="12">
    <font>
      <sz val="12"/>
      <color theme="1"/>
      <name val="Calibri"/>
      <charset val="134"/>
      <scheme val="minor"/>
    </font>
    <font>
      <sz val="11"/>
      <name val="Arial"/>
      <family val="2"/>
    </font>
    <font>
      <sz val="12"/>
      <color theme="1"/>
      <name val="Calibri"/>
      <family val="2"/>
      <scheme val="minor"/>
    </font>
    <font>
      <sz val="9"/>
      <name val="Calibri"/>
      <family val="2"/>
      <scheme val="minor"/>
    </font>
    <font>
      <b/>
      <sz val="20"/>
      <color rgb="FF000000"/>
      <name val="Arial Nova"/>
      <family val="2"/>
    </font>
    <font>
      <b/>
      <sz val="12"/>
      <color rgb="FF000000"/>
      <name val="Arial Nova"/>
      <family val="2"/>
    </font>
    <font>
      <b/>
      <sz val="11"/>
      <color rgb="FF000000"/>
      <name val="Arial Nova"/>
      <family val="2"/>
    </font>
    <font>
      <sz val="10"/>
      <color rgb="FF000000"/>
      <name val="Arial Nova"/>
      <family val="2"/>
    </font>
    <font>
      <sz val="11"/>
      <color rgb="FF000000"/>
      <name val="Arial Nova"/>
      <family val="2"/>
    </font>
    <font>
      <sz val="11"/>
      <name val="Arial Nova"/>
      <family val="2"/>
    </font>
    <font>
      <sz val="11"/>
      <color theme="1"/>
      <name val="Arial Nova"/>
      <family val="2"/>
    </font>
    <font>
      <b/>
      <sz val="1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FF"/>
        <bgColor indexed="64"/>
      </patternFill>
    </fill>
  </fills>
  <borders count="22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/>
      <right/>
      <top style="medium">
        <color auto="1"/>
      </top>
      <bottom/>
      <diagonal/>
    </border>
    <border>
      <left style="thin">
        <color rgb="FFB2B2B2"/>
      </left>
      <right style="medium">
        <color auto="1"/>
      </right>
      <top style="thin">
        <color rgb="FFB2B2B2"/>
      </top>
      <bottom style="thin">
        <color rgb="FFB2B2B2"/>
      </bottom>
      <diagonal/>
    </border>
    <border>
      <left/>
      <right style="medium">
        <color auto="1"/>
      </right>
      <top/>
      <bottom/>
      <diagonal/>
    </border>
    <border>
      <left/>
      <right/>
      <top/>
      <bottom style="medium">
        <color auto="1"/>
      </bottom>
      <diagonal/>
    </border>
    <border>
      <left style="thin">
        <color rgb="FFB2B2B2"/>
      </left>
      <right style="medium">
        <color auto="1"/>
      </right>
      <top style="thin">
        <color rgb="FFB2B2B2"/>
      </top>
      <bottom style="medium">
        <color auto="1"/>
      </bottom>
      <diagonal/>
    </border>
    <border>
      <left/>
      <right style="medium">
        <color rgb="FF000000"/>
      </right>
      <top/>
      <bottom/>
      <diagonal/>
    </border>
    <border>
      <left style="thin">
        <color rgb="FFB2B2B2"/>
      </left>
      <right style="medium">
        <color rgb="FF000000"/>
      </right>
      <top style="thin">
        <color rgb="FFB2B2B2"/>
      </top>
      <bottom style="thin">
        <color rgb="FFB2B2B2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rgb="FF000000"/>
      </bottom>
      <diagonal/>
    </border>
  </borders>
  <cellStyleXfs count="2">
    <xf numFmtId="0" fontId="0" fillId="0" borderId="0">
      <alignment vertical="center"/>
    </xf>
    <xf numFmtId="0" fontId="2" fillId="4" borderId="20" applyNumberFormat="0" applyFont="0" applyAlignment="0" applyProtection="0"/>
  </cellStyleXfs>
  <cellXfs count="112">
    <xf numFmtId="0" fontId="0" fillId="0" borderId="0" xfId="0">
      <alignment vertical="center"/>
    </xf>
    <xf numFmtId="0" fontId="1" fillId="0" borderId="0" xfId="0" applyFont="1">
      <alignment vertical="center"/>
    </xf>
    <xf numFmtId="164" fontId="1" fillId="0" borderId="0" xfId="0" applyNumberFormat="1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 wrapText="1"/>
    </xf>
    <xf numFmtId="2" fontId="7" fillId="0" borderId="1" xfId="0" applyNumberFormat="1" applyFont="1" applyBorder="1" applyAlignment="1">
      <alignment horizontal="center" vertical="center" wrapText="1"/>
    </xf>
    <xf numFmtId="2" fontId="7" fillId="0" borderId="3" xfId="0" applyNumberFormat="1" applyFont="1" applyBorder="1" applyAlignment="1">
      <alignment horizontal="center" vertical="center" wrapText="1"/>
    </xf>
    <xf numFmtId="2" fontId="7" fillId="0" borderId="2" xfId="0" applyNumberFormat="1" applyFont="1" applyBorder="1" applyAlignment="1">
      <alignment horizontal="center" vertical="center" wrapText="1"/>
    </xf>
    <xf numFmtId="166" fontId="7" fillId="0" borderId="1" xfId="0" applyNumberFormat="1" applyFont="1" applyBorder="1" applyAlignment="1">
      <alignment horizontal="center" vertical="center" wrapText="1"/>
    </xf>
    <xf numFmtId="166" fontId="7" fillId="0" borderId="3" xfId="0" applyNumberFormat="1" applyFont="1" applyBorder="1" applyAlignment="1">
      <alignment horizontal="center" vertical="center" wrapText="1"/>
    </xf>
    <xf numFmtId="166" fontId="7" fillId="0" borderId="2" xfId="0" applyNumberFormat="1" applyFont="1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center" wrapText="1"/>
    </xf>
    <xf numFmtId="0" fontId="8" fillId="0" borderId="5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1" fontId="8" fillId="0" borderId="5" xfId="0" applyNumberFormat="1" applyFont="1" applyBorder="1" applyAlignment="1">
      <alignment horizontal="center" vertical="center" wrapText="1"/>
    </xf>
    <xf numFmtId="1" fontId="8" fillId="0" borderId="6" xfId="0" applyNumberFormat="1" applyFont="1" applyBorder="1" applyAlignment="1">
      <alignment horizontal="center" vertical="center" wrapText="1"/>
    </xf>
    <xf numFmtId="1" fontId="8" fillId="0" borderId="7" xfId="0" applyNumberFormat="1" applyFont="1" applyBorder="1" applyAlignment="1">
      <alignment horizontal="center" vertical="center" wrapText="1"/>
    </xf>
    <xf numFmtId="1" fontId="8" fillId="0" borderId="0" xfId="0" applyNumberFormat="1" applyFont="1" applyAlignment="1">
      <alignment horizontal="center" vertical="center" wrapText="1"/>
    </xf>
    <xf numFmtId="1" fontId="8" fillId="0" borderId="14" xfId="0" applyNumberFormat="1" applyFont="1" applyBorder="1" applyAlignment="1">
      <alignment horizontal="center" vertical="center" wrapText="1"/>
    </xf>
    <xf numFmtId="0" fontId="9" fillId="0" borderId="12" xfId="0" applyFont="1" applyBorder="1" applyAlignment="1">
      <alignment horizontal="center" vertical="center"/>
    </xf>
    <xf numFmtId="1" fontId="8" fillId="0" borderId="7" xfId="0" applyNumberFormat="1" applyFont="1" applyBorder="1" applyAlignment="1">
      <alignment horizontal="center" vertical="center"/>
    </xf>
    <xf numFmtId="1" fontId="8" fillId="0" borderId="0" xfId="0" applyNumberFormat="1" applyFont="1" applyAlignment="1">
      <alignment horizontal="center" vertical="center"/>
    </xf>
    <xf numFmtId="164" fontId="8" fillId="0" borderId="0" xfId="0" applyNumberFormat="1" applyFont="1" applyAlignment="1">
      <alignment horizontal="center" vertical="center"/>
    </xf>
    <xf numFmtId="164" fontId="8" fillId="0" borderId="14" xfId="0" applyNumberFormat="1" applyFont="1" applyBorder="1" applyAlignment="1">
      <alignment horizontal="center" vertical="center"/>
    </xf>
    <xf numFmtId="165" fontId="8" fillId="0" borderId="7" xfId="0" applyNumberFormat="1" applyFont="1" applyBorder="1" applyAlignment="1">
      <alignment horizontal="center" vertical="center"/>
    </xf>
    <xf numFmtId="165" fontId="8" fillId="0" borderId="0" xfId="0" applyNumberFormat="1" applyFont="1" applyAlignment="1">
      <alignment horizontal="center" vertical="center"/>
    </xf>
    <xf numFmtId="165" fontId="9" fillId="0" borderId="14" xfId="0" applyNumberFormat="1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 wrapText="1"/>
    </xf>
    <xf numFmtId="0" fontId="8" fillId="0" borderId="7" xfId="0" applyFont="1" applyBorder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0" fontId="9" fillId="0" borderId="0" xfId="0" applyFont="1" applyAlignment="1">
      <alignment horizontal="center" vertical="center"/>
    </xf>
    <xf numFmtId="1" fontId="8" fillId="0" borderId="17" xfId="0" applyNumberFormat="1" applyFont="1" applyBorder="1" applyAlignment="1">
      <alignment horizontal="center" vertical="center"/>
    </xf>
    <xf numFmtId="1" fontId="8" fillId="0" borderId="18" xfId="1" applyNumberFormat="1" applyFont="1" applyFill="1" applyBorder="1" applyAlignment="1">
      <alignment horizontal="center" vertical="center"/>
    </xf>
    <xf numFmtId="1" fontId="8" fillId="0" borderId="18" xfId="1" applyNumberFormat="1" applyFont="1" applyFill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1" fontId="8" fillId="0" borderId="9" xfId="0" applyNumberFormat="1" applyFont="1" applyBorder="1" applyAlignment="1">
      <alignment horizontal="center" vertical="center" wrapText="1"/>
    </xf>
    <xf numFmtId="1" fontId="8" fillId="0" borderId="10" xfId="0" applyNumberFormat="1" applyFont="1" applyBorder="1" applyAlignment="1">
      <alignment horizontal="center" vertical="center" wrapText="1"/>
    </xf>
    <xf numFmtId="1" fontId="8" fillId="0" borderId="15" xfId="0" applyNumberFormat="1" applyFont="1" applyBorder="1" applyAlignment="1">
      <alignment horizontal="center" vertical="center" wrapText="1"/>
    </xf>
    <xf numFmtId="0" fontId="9" fillId="0" borderId="15" xfId="0" applyFont="1" applyBorder="1" applyAlignment="1">
      <alignment horizontal="center" vertical="center"/>
    </xf>
    <xf numFmtId="1" fontId="8" fillId="0" borderId="9" xfId="0" applyNumberFormat="1" applyFont="1" applyBorder="1" applyAlignment="1">
      <alignment horizontal="center" vertical="center"/>
    </xf>
    <xf numFmtId="1" fontId="8" fillId="0" borderId="19" xfId="0" applyNumberFormat="1" applyFont="1" applyBorder="1" applyAlignment="1">
      <alignment horizontal="center" vertical="center"/>
    </xf>
    <xf numFmtId="164" fontId="8" fillId="0" borderId="15" xfId="0" applyNumberFormat="1" applyFont="1" applyBorder="1" applyAlignment="1">
      <alignment horizontal="center" vertical="center"/>
    </xf>
    <xf numFmtId="164" fontId="8" fillId="0" borderId="10" xfId="0" applyNumberFormat="1" applyFont="1" applyBorder="1" applyAlignment="1">
      <alignment horizontal="center" vertical="center"/>
    </xf>
    <xf numFmtId="165" fontId="8" fillId="0" borderId="9" xfId="0" applyNumberFormat="1" applyFont="1" applyBorder="1" applyAlignment="1">
      <alignment horizontal="center" vertical="center"/>
    </xf>
    <xf numFmtId="165" fontId="8" fillId="0" borderId="15" xfId="0" applyNumberFormat="1" applyFont="1" applyBorder="1" applyAlignment="1">
      <alignment horizontal="center" vertical="center"/>
    </xf>
    <xf numFmtId="165" fontId="9" fillId="0" borderId="10" xfId="0" applyNumberFormat="1" applyFont="1" applyBorder="1" applyAlignment="1">
      <alignment horizontal="center" vertical="center"/>
    </xf>
    <xf numFmtId="1" fontId="8" fillId="0" borderId="12" xfId="0" applyNumberFormat="1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center" wrapText="1"/>
    </xf>
    <xf numFmtId="2" fontId="8" fillId="0" borderId="0" xfId="0" applyNumberFormat="1" applyFont="1" applyAlignment="1">
      <alignment horizontal="center" vertical="center" wrapText="1"/>
    </xf>
    <xf numFmtId="2" fontId="8" fillId="0" borderId="15" xfId="0" applyNumberFormat="1" applyFont="1" applyBorder="1" applyAlignment="1">
      <alignment horizontal="center" vertical="center" wrapText="1"/>
    </xf>
    <xf numFmtId="2" fontId="8" fillId="0" borderId="7" xfId="0" applyNumberFormat="1" applyFont="1" applyBorder="1" applyAlignment="1">
      <alignment horizontal="center" vertical="center" wrapText="1"/>
    </xf>
    <xf numFmtId="2" fontId="8" fillId="0" borderId="14" xfId="0" applyNumberFormat="1" applyFont="1" applyBorder="1" applyAlignment="1">
      <alignment horizontal="center" vertical="center" wrapText="1"/>
    </xf>
    <xf numFmtId="2" fontId="8" fillId="0" borderId="9" xfId="0" applyNumberFormat="1" applyFont="1" applyBorder="1" applyAlignment="1">
      <alignment horizontal="center" vertical="center" wrapText="1"/>
    </xf>
    <xf numFmtId="2" fontId="8" fillId="0" borderId="10" xfId="0" applyNumberFormat="1" applyFont="1" applyBorder="1" applyAlignment="1">
      <alignment horizontal="center" vertical="center" wrapText="1"/>
    </xf>
    <xf numFmtId="2" fontId="0" fillId="0" borderId="0" xfId="0" applyNumberFormat="1">
      <alignment vertical="center"/>
    </xf>
    <xf numFmtId="2" fontId="10" fillId="0" borderId="7" xfId="0" applyNumberFormat="1" applyFont="1" applyBorder="1" applyAlignment="1">
      <alignment horizontal="center" vertical="center" wrapText="1"/>
    </xf>
    <xf numFmtId="2" fontId="10" fillId="6" borderId="13" xfId="1" applyNumberFormat="1" applyFont="1" applyFill="1" applyBorder="1" applyAlignment="1">
      <alignment horizontal="center" vertical="center" wrapText="1"/>
    </xf>
    <xf numFmtId="1" fontId="10" fillId="0" borderId="7" xfId="0" applyNumberFormat="1" applyFont="1" applyBorder="1" applyAlignment="1">
      <alignment horizontal="center" vertical="center" wrapText="1"/>
    </xf>
    <xf numFmtId="1" fontId="10" fillId="0" borderId="0" xfId="0" applyNumberFormat="1" applyFont="1" applyAlignment="1">
      <alignment horizontal="center" vertical="center" wrapText="1"/>
    </xf>
    <xf numFmtId="1" fontId="10" fillId="0" borderId="14" xfId="0" applyNumberFormat="1" applyFont="1" applyBorder="1" applyAlignment="1">
      <alignment horizontal="center" vertical="center" wrapText="1"/>
    </xf>
    <xf numFmtId="2" fontId="10" fillId="6" borderId="14" xfId="0" applyNumberFormat="1" applyFont="1" applyFill="1" applyBorder="1" applyAlignment="1">
      <alignment horizontal="center" vertical="center" wrapText="1"/>
    </xf>
    <xf numFmtId="2" fontId="10" fillId="0" borderId="9" xfId="0" applyNumberFormat="1" applyFont="1" applyBorder="1" applyAlignment="1">
      <alignment horizontal="center" vertical="center" wrapText="1"/>
    </xf>
    <xf numFmtId="2" fontId="10" fillId="6" borderId="16" xfId="1" applyNumberFormat="1" applyFont="1" applyFill="1" applyBorder="1" applyAlignment="1">
      <alignment horizontal="center" vertical="center" wrapText="1"/>
    </xf>
    <xf numFmtId="1" fontId="10" fillId="0" borderId="9" xfId="0" applyNumberFormat="1" applyFont="1" applyBorder="1" applyAlignment="1">
      <alignment horizontal="center" vertical="center" wrapText="1"/>
    </xf>
    <xf numFmtId="1" fontId="10" fillId="0" borderId="15" xfId="0" applyNumberFormat="1" applyFont="1" applyBorder="1" applyAlignment="1">
      <alignment horizontal="center" vertical="center" wrapText="1"/>
    </xf>
    <xf numFmtId="1" fontId="10" fillId="0" borderId="10" xfId="0" applyNumberFormat="1" applyFont="1" applyBorder="1" applyAlignment="1">
      <alignment horizontal="center" vertical="center" wrapText="1"/>
    </xf>
    <xf numFmtId="0" fontId="1" fillId="0" borderId="15" xfId="0" applyFont="1" applyBorder="1" applyAlignment="1">
      <alignment horizontal="left" vertical="center" wrapText="1"/>
    </xf>
    <xf numFmtId="0" fontId="1" fillId="0" borderId="15" xfId="0" applyFont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0" fontId="4" fillId="5" borderId="2" xfId="0" applyFont="1" applyFill="1" applyBorder="1" applyAlignment="1">
      <alignment horizontal="center" vertical="center"/>
    </xf>
    <xf numFmtId="0" fontId="4" fillId="5" borderId="3" xfId="0" applyFont="1" applyFill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6" fillId="0" borderId="1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 wrapText="1"/>
    </xf>
    <xf numFmtId="0" fontId="5" fillId="0" borderId="11" xfId="0" applyFont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6" fillId="0" borderId="9" xfId="0" applyFont="1" applyBorder="1" applyAlignment="1">
      <alignment horizontal="center" vertical="center"/>
    </xf>
    <xf numFmtId="0" fontId="6" fillId="0" borderId="10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6" fillId="0" borderId="0" xfId="0" applyFont="1" applyBorder="1" applyAlignment="1">
      <alignment horizontal="center" vertical="center"/>
    </xf>
    <xf numFmtId="0" fontId="4" fillId="3" borderId="3" xfId="0" applyFont="1" applyFill="1" applyBorder="1" applyAlignment="1">
      <alignment horizontal="center" vertical="center"/>
    </xf>
    <xf numFmtId="1" fontId="8" fillId="0" borderId="0" xfId="0" applyNumberFormat="1" applyFont="1" applyBorder="1" applyAlignment="1">
      <alignment horizontal="center" vertical="center"/>
    </xf>
    <xf numFmtId="1" fontId="8" fillId="0" borderId="21" xfId="0" applyNumberFormat="1" applyFont="1" applyBorder="1" applyAlignment="1">
      <alignment horizontal="center" vertical="center"/>
    </xf>
    <xf numFmtId="2" fontId="8" fillId="0" borderId="0" xfId="0" applyNumberFormat="1" applyFont="1" applyBorder="1" applyAlignment="1">
      <alignment horizontal="center" vertical="center" wrapText="1"/>
    </xf>
    <xf numFmtId="1" fontId="8" fillId="0" borderId="5" xfId="0" applyNumberFormat="1" applyFont="1" applyBorder="1" applyAlignment="1">
      <alignment horizontal="center" vertical="center"/>
    </xf>
    <xf numFmtId="2" fontId="8" fillId="0" borderId="12" xfId="0" applyNumberFormat="1" applyFont="1" applyBorder="1" applyAlignment="1">
      <alignment horizontal="center" vertical="center" wrapText="1"/>
    </xf>
    <xf numFmtId="2" fontId="8" fillId="0" borderId="6" xfId="0" applyNumberFormat="1" applyFont="1" applyBorder="1" applyAlignment="1">
      <alignment horizontal="center" vertical="center" wrapText="1"/>
    </xf>
    <xf numFmtId="2" fontId="10" fillId="0" borderId="5" xfId="0" applyNumberFormat="1" applyFont="1" applyBorder="1" applyAlignment="1">
      <alignment horizontal="center" vertical="center" wrapText="1"/>
    </xf>
    <xf numFmtId="0" fontId="9" fillId="0" borderId="0" xfId="0" applyFont="1" applyBorder="1" applyAlignment="1">
      <alignment horizontal="center" vertical="center"/>
    </xf>
    <xf numFmtId="167" fontId="9" fillId="0" borderId="7" xfId="0" applyNumberFormat="1" applyFont="1" applyBorder="1" applyAlignment="1">
      <alignment horizontal="center" vertical="center"/>
    </xf>
    <xf numFmtId="167" fontId="9" fillId="0" borderId="9" xfId="0" applyNumberFormat="1" applyFont="1" applyBorder="1" applyAlignment="1">
      <alignment horizontal="center" vertical="center"/>
    </xf>
    <xf numFmtId="167" fontId="9" fillId="0" borderId="5" xfId="0" applyNumberFormat="1" applyFont="1" applyBorder="1" applyAlignment="1">
      <alignment horizontal="center" vertical="center"/>
    </xf>
    <xf numFmtId="167" fontId="9" fillId="0" borderId="6" xfId="0" applyNumberFormat="1" applyFont="1" applyBorder="1" applyAlignment="1">
      <alignment horizontal="center" vertical="center"/>
    </xf>
    <xf numFmtId="167" fontId="9" fillId="0" borderId="14" xfId="0" applyNumberFormat="1" applyFont="1" applyBorder="1" applyAlignment="1">
      <alignment horizontal="center" vertical="center"/>
    </xf>
    <xf numFmtId="167" fontId="9" fillId="0" borderId="10" xfId="0" applyNumberFormat="1" applyFont="1" applyBorder="1" applyAlignment="1">
      <alignment horizontal="center" vertical="center"/>
    </xf>
  </cellXfs>
  <cellStyles count="2">
    <cellStyle name="Normal" xfId="0" builtinId="0"/>
    <cellStyle name="Note" xfId="1" builtinId="10"/>
  </cellStyles>
  <dxfs count="0"/>
  <tableStyles count="0" defaultTableStyle="TableStyleMedium2" defaultPivotStyle="PivotStyleLight16"/>
  <colors>
    <mruColors>
      <color rgb="FFEEAEA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AT52"/>
  <sheetViews>
    <sheetView tabSelected="1" topLeftCell="A3" zoomScale="115" zoomScaleNormal="115" workbookViewId="0">
      <selection activeCell="E4" sqref="E4:G5"/>
    </sheetView>
  </sheetViews>
  <sheetFormatPr defaultColWidth="11" defaultRowHeight="15.5"/>
  <cols>
    <col min="2" max="27" width="18.25" style="1" customWidth="1"/>
    <col min="28" max="29" width="18.25" style="2" customWidth="1"/>
    <col min="30" max="43" width="18.25" customWidth="1"/>
  </cols>
  <sheetData>
    <row r="1" spans="2:46" ht="24" customHeight="1">
      <c r="B1" s="71" t="s">
        <v>42</v>
      </c>
      <c r="C1" s="71"/>
      <c r="D1" s="71"/>
      <c r="E1" s="71"/>
      <c r="F1" s="71"/>
      <c r="G1" s="71"/>
      <c r="H1" s="71"/>
      <c r="I1" s="71"/>
      <c r="J1" s="71"/>
      <c r="K1" s="71"/>
      <c r="L1" s="71"/>
      <c r="M1" s="71"/>
      <c r="N1" s="71"/>
      <c r="O1" s="71"/>
      <c r="P1" s="71"/>
    </row>
    <row r="2" spans="2:46" ht="58" customHeight="1" thickBot="1">
      <c r="B2" s="69" t="s">
        <v>43</v>
      </c>
      <c r="C2" s="69"/>
      <c r="D2" s="69"/>
      <c r="E2" s="69"/>
      <c r="F2" s="69"/>
      <c r="G2" s="69"/>
      <c r="H2" s="70" t="s">
        <v>44</v>
      </c>
      <c r="I2" s="70"/>
      <c r="J2" s="70"/>
      <c r="K2" s="70"/>
      <c r="L2" s="70"/>
      <c r="M2" s="70"/>
      <c r="N2" s="70"/>
      <c r="O2" s="70"/>
      <c r="P2" s="70"/>
    </row>
    <row r="3" spans="2:46" ht="30" customHeight="1" thickBot="1">
      <c r="B3" s="72" t="s">
        <v>0</v>
      </c>
      <c r="C3" s="73"/>
      <c r="D3" s="73"/>
      <c r="E3" s="73"/>
      <c r="F3" s="73"/>
      <c r="G3" s="74"/>
      <c r="H3" s="75" t="s">
        <v>1</v>
      </c>
      <c r="I3" s="76"/>
      <c r="J3" s="76"/>
      <c r="K3" s="76"/>
      <c r="L3" s="76"/>
      <c r="M3" s="76"/>
      <c r="N3" s="76"/>
      <c r="O3" s="76"/>
      <c r="P3" s="76"/>
      <c r="Q3" s="76"/>
      <c r="R3" s="76"/>
      <c r="S3" s="76"/>
      <c r="T3" s="76"/>
      <c r="U3" s="76"/>
      <c r="V3" s="76"/>
      <c r="W3" s="76"/>
      <c r="X3" s="76"/>
      <c r="Y3" s="76"/>
      <c r="Z3" s="76"/>
      <c r="AA3" s="76"/>
      <c r="AB3" s="76"/>
      <c r="AC3" s="76"/>
      <c r="AD3" s="76"/>
      <c r="AE3" s="97"/>
      <c r="AF3" s="77" t="s">
        <v>2</v>
      </c>
      <c r="AG3" s="78"/>
      <c r="AH3" s="78"/>
      <c r="AI3" s="78"/>
      <c r="AJ3" s="78"/>
      <c r="AK3" s="78"/>
      <c r="AL3" s="78"/>
      <c r="AM3" s="78"/>
      <c r="AN3" s="78"/>
      <c r="AO3" s="78"/>
      <c r="AP3" s="78"/>
      <c r="AQ3" s="79"/>
    </row>
    <row r="4" spans="2:46" ht="22.5" customHeight="1" thickBot="1">
      <c r="B4" s="84" t="s">
        <v>3</v>
      </c>
      <c r="C4" s="87" t="s">
        <v>4</v>
      </c>
      <c r="D4" s="88"/>
      <c r="E4" s="87" t="s">
        <v>5</v>
      </c>
      <c r="F4" s="91"/>
      <c r="G4" s="88"/>
      <c r="H4" s="96"/>
      <c r="I4" s="96"/>
      <c r="J4" s="96"/>
      <c r="K4" s="96"/>
      <c r="L4" s="80"/>
      <c r="M4" s="80"/>
      <c r="N4" s="80"/>
      <c r="O4" s="80"/>
      <c r="P4" s="80"/>
      <c r="Q4" s="80"/>
      <c r="R4" s="80"/>
      <c r="S4" s="80"/>
      <c r="T4" s="80"/>
      <c r="U4" s="80"/>
      <c r="V4" s="80"/>
      <c r="W4" s="80"/>
      <c r="X4" s="80"/>
      <c r="Y4" s="80"/>
      <c r="Z4" s="80"/>
      <c r="AA4" s="80"/>
      <c r="AB4" s="93" t="s">
        <v>45</v>
      </c>
      <c r="AC4" s="95"/>
      <c r="AD4" s="95"/>
      <c r="AE4" s="94"/>
      <c r="AF4" s="91" t="s">
        <v>40</v>
      </c>
      <c r="AG4" s="88"/>
      <c r="AH4" s="81" t="s">
        <v>6</v>
      </c>
      <c r="AI4" s="82"/>
      <c r="AJ4" s="82"/>
      <c r="AK4" s="82"/>
      <c r="AL4" s="82"/>
      <c r="AM4" s="82"/>
      <c r="AN4" s="82"/>
      <c r="AO4" s="82"/>
      <c r="AP4" s="82"/>
      <c r="AQ4" s="83"/>
    </row>
    <row r="5" spans="2:46" ht="22.5" customHeight="1" thickBot="1">
      <c r="B5" s="85"/>
      <c r="C5" s="89"/>
      <c r="D5" s="90"/>
      <c r="E5" s="89"/>
      <c r="F5" s="92"/>
      <c r="G5" s="90"/>
      <c r="H5" s="95" t="s">
        <v>31</v>
      </c>
      <c r="I5" s="95"/>
      <c r="J5" s="91" t="s">
        <v>38</v>
      </c>
      <c r="K5" s="88"/>
      <c r="L5" s="93" t="s">
        <v>33</v>
      </c>
      <c r="M5" s="95"/>
      <c r="N5" s="95"/>
      <c r="O5" s="95"/>
      <c r="P5" s="94"/>
      <c r="Q5" s="91" t="s">
        <v>32</v>
      </c>
      <c r="R5" s="95"/>
      <c r="S5" s="93" t="s">
        <v>36</v>
      </c>
      <c r="T5" s="95"/>
      <c r="U5" s="94"/>
      <c r="V5" s="93" t="s">
        <v>41</v>
      </c>
      <c r="W5" s="94"/>
      <c r="X5" s="93" t="s">
        <v>30</v>
      </c>
      <c r="Y5" s="95"/>
      <c r="Z5" s="95"/>
      <c r="AA5" s="94"/>
      <c r="AB5" s="93" t="s">
        <v>46</v>
      </c>
      <c r="AC5" s="95"/>
      <c r="AD5" s="93" t="s">
        <v>47</v>
      </c>
      <c r="AE5" s="94"/>
      <c r="AF5" s="92"/>
      <c r="AG5" s="90"/>
      <c r="AH5" s="81" t="s">
        <v>22</v>
      </c>
      <c r="AI5" s="83"/>
      <c r="AJ5" s="81" t="s">
        <v>7</v>
      </c>
      <c r="AK5" s="83"/>
      <c r="AL5" s="81" t="s">
        <v>23</v>
      </c>
      <c r="AM5" s="83"/>
      <c r="AN5" s="81" t="s">
        <v>8</v>
      </c>
      <c r="AO5" s="83"/>
      <c r="AP5" s="81" t="s">
        <v>9</v>
      </c>
      <c r="AQ5" s="83"/>
    </row>
    <row r="6" spans="2:46" ht="22.5" customHeight="1" thickBot="1">
      <c r="B6" s="86"/>
      <c r="C6" s="4" t="s">
        <v>10</v>
      </c>
      <c r="D6" s="4" t="s">
        <v>11</v>
      </c>
      <c r="E6" s="49" t="s">
        <v>12</v>
      </c>
      <c r="F6" s="50" t="s">
        <v>25</v>
      </c>
      <c r="G6" s="6" t="s">
        <v>13</v>
      </c>
      <c r="H6" s="7" t="s">
        <v>14</v>
      </c>
      <c r="I6" s="7" t="s">
        <v>15</v>
      </c>
      <c r="J6" s="5" t="s">
        <v>39</v>
      </c>
      <c r="K6" s="6" t="s">
        <v>15</v>
      </c>
      <c r="L6" s="5" t="s">
        <v>24</v>
      </c>
      <c r="M6" s="7" t="s">
        <v>16</v>
      </c>
      <c r="N6" s="7" t="s">
        <v>17</v>
      </c>
      <c r="O6" s="7" t="s">
        <v>18</v>
      </c>
      <c r="P6" s="6" t="s">
        <v>19</v>
      </c>
      <c r="Q6" s="5" t="s">
        <v>20</v>
      </c>
      <c r="R6" s="6" t="s">
        <v>15</v>
      </c>
      <c r="S6" s="7" t="s">
        <v>37</v>
      </c>
      <c r="T6" s="7" t="s">
        <v>34</v>
      </c>
      <c r="U6" s="7" t="s">
        <v>35</v>
      </c>
      <c r="V6" s="5" t="s">
        <v>14</v>
      </c>
      <c r="W6" s="6" t="s">
        <v>15</v>
      </c>
      <c r="X6" s="5" t="s">
        <v>26</v>
      </c>
      <c r="Y6" s="7" t="s">
        <v>27</v>
      </c>
      <c r="Z6" s="7" t="s">
        <v>28</v>
      </c>
      <c r="AA6" s="6" t="s">
        <v>29</v>
      </c>
      <c r="AB6" s="5" t="s">
        <v>14</v>
      </c>
      <c r="AC6" s="7" t="s">
        <v>15</v>
      </c>
      <c r="AD6" s="5" t="s">
        <v>14</v>
      </c>
      <c r="AE6" s="6" t="s">
        <v>15</v>
      </c>
      <c r="AF6" s="10" t="s">
        <v>20</v>
      </c>
      <c r="AG6" s="9" t="s">
        <v>15</v>
      </c>
      <c r="AH6" s="8" t="s">
        <v>20</v>
      </c>
      <c r="AI6" s="9" t="s">
        <v>15</v>
      </c>
      <c r="AJ6" s="8" t="s">
        <v>20</v>
      </c>
      <c r="AK6" s="9" t="s">
        <v>15</v>
      </c>
      <c r="AL6" s="8" t="s">
        <v>20</v>
      </c>
      <c r="AM6" s="10" t="s">
        <v>15</v>
      </c>
      <c r="AN6" s="8" t="s">
        <v>20</v>
      </c>
      <c r="AO6" s="9" t="s">
        <v>15</v>
      </c>
      <c r="AP6" s="8" t="s">
        <v>20</v>
      </c>
      <c r="AQ6" s="9" t="s">
        <v>15</v>
      </c>
    </row>
    <row r="7" spans="2:46">
      <c r="B7" s="11">
        <v>1</v>
      </c>
      <c r="C7" s="12">
        <v>275</v>
      </c>
      <c r="D7" s="13">
        <v>800</v>
      </c>
      <c r="E7" s="14">
        <f t="shared" ref="E7:E48" si="0">C7*1000/D7</f>
        <v>343.75</v>
      </c>
      <c r="F7" s="48">
        <f>C7/SQRT(D7/1000)</f>
        <v>307.45934690622107</v>
      </c>
      <c r="G7" s="15">
        <f t="shared" ref="G7:G48" si="1">C7*D7/1000</f>
        <v>220</v>
      </c>
      <c r="H7" s="19">
        <v>0.87739999999999996</v>
      </c>
      <c r="I7" s="19">
        <v>4.5199999999999997E-2</v>
      </c>
      <c r="J7" s="108">
        <v>1.3188825051038771</v>
      </c>
      <c r="K7" s="109">
        <v>0.88163658631082475</v>
      </c>
      <c r="L7" s="60">
        <v>44006</v>
      </c>
      <c r="M7" s="61">
        <v>44006</v>
      </c>
      <c r="N7" s="61">
        <v>0</v>
      </c>
      <c r="O7" s="61">
        <v>0</v>
      </c>
      <c r="P7" s="62">
        <v>0</v>
      </c>
      <c r="Q7" s="20">
        <v>49.866681149999998</v>
      </c>
      <c r="R7" s="18">
        <v>15.057967359999999</v>
      </c>
      <c r="S7" s="17">
        <v>3798.2998684906202</v>
      </c>
      <c r="T7" s="17">
        <v>758200</v>
      </c>
      <c r="U7" s="17">
        <v>280158800</v>
      </c>
      <c r="V7" s="58">
        <v>0.98</v>
      </c>
      <c r="W7" s="59">
        <v>3.9073450570777303E-2</v>
      </c>
      <c r="X7" s="53">
        <v>12.692416125232212</v>
      </c>
      <c r="Y7" s="51">
        <v>1.7985030706701375</v>
      </c>
      <c r="Z7" s="51">
        <v>15.702150026072449</v>
      </c>
      <c r="AA7" s="54">
        <v>2.1980438005738048</v>
      </c>
      <c r="AB7" s="101">
        <v>203.88145900000001</v>
      </c>
      <c r="AC7" s="102">
        <v>114.05661499999999</v>
      </c>
      <c r="AD7" s="104">
        <v>1.9182406780000001</v>
      </c>
      <c r="AE7" s="103">
        <v>0.65904620599999997</v>
      </c>
      <c r="AF7" s="21">
        <v>358.1</v>
      </c>
      <c r="AG7" s="18">
        <v>26.24436</v>
      </c>
      <c r="AH7" s="22">
        <v>1020.8</v>
      </c>
      <c r="AI7" s="23">
        <v>6.4807406984078604</v>
      </c>
      <c r="AJ7" s="22">
        <v>942.31926987775796</v>
      </c>
      <c r="AK7" s="23">
        <v>10.469725029389799</v>
      </c>
      <c r="AL7" s="24">
        <v>6.1530199999999997</v>
      </c>
      <c r="AM7" s="25">
        <v>7.8214461578406197E-2</v>
      </c>
      <c r="AN7" s="24">
        <v>10.696960000000001</v>
      </c>
      <c r="AO7" s="26">
        <v>0.76020347802414001</v>
      </c>
      <c r="AP7" s="20">
        <v>112.3574</v>
      </c>
      <c r="AQ7" s="26">
        <v>5.3484739692738499</v>
      </c>
      <c r="AS7" s="57"/>
      <c r="AT7" s="57"/>
    </row>
    <row r="8" spans="2:46">
      <c r="B8" s="27">
        <v>2</v>
      </c>
      <c r="C8" s="28">
        <v>275</v>
      </c>
      <c r="D8" s="29">
        <v>760</v>
      </c>
      <c r="E8" s="16">
        <f t="shared" si="0"/>
        <v>361.84210526315792</v>
      </c>
      <c r="F8" s="17">
        <f t="shared" ref="F8:F48" si="2">C8/SQRT(D8/1000)</f>
        <v>315.44663407202245</v>
      </c>
      <c r="G8" s="18">
        <f t="shared" si="1"/>
        <v>209</v>
      </c>
      <c r="H8" s="30">
        <v>1.9381999999999999</v>
      </c>
      <c r="I8" s="105">
        <v>0.14949999999999999</v>
      </c>
      <c r="J8" s="106">
        <v>1.8790936314835254</v>
      </c>
      <c r="K8" s="110">
        <v>0.87745725399636998</v>
      </c>
      <c r="L8" s="60">
        <v>57383</v>
      </c>
      <c r="M8" s="61">
        <v>57383</v>
      </c>
      <c r="N8" s="61">
        <v>0</v>
      </c>
      <c r="O8" s="61">
        <v>0</v>
      </c>
      <c r="P8" s="62">
        <v>0</v>
      </c>
      <c r="Q8" s="20">
        <v>51.810466509999998</v>
      </c>
      <c r="R8" s="18">
        <v>16.220652600000001</v>
      </c>
      <c r="S8" s="17">
        <v>3884.52485627325</v>
      </c>
      <c r="T8" s="17">
        <v>602800</v>
      </c>
      <c r="U8" s="17">
        <v>287163500</v>
      </c>
      <c r="V8" s="58">
        <v>0.97</v>
      </c>
      <c r="W8" s="59">
        <v>4.87304179224686E-2</v>
      </c>
      <c r="X8" s="53">
        <v>11.991952991523375</v>
      </c>
      <c r="Y8" s="51">
        <v>1.6718193538054031</v>
      </c>
      <c r="Z8" s="51">
        <v>14.362300065395813</v>
      </c>
      <c r="AA8" s="54">
        <v>2.6381795784338307</v>
      </c>
      <c r="AB8" s="20">
        <v>204.80605299999999</v>
      </c>
      <c r="AC8" s="100">
        <v>105.154791</v>
      </c>
      <c r="AD8" s="58">
        <v>1.9768817240000001</v>
      </c>
      <c r="AE8" s="54">
        <v>0.74423666600000005</v>
      </c>
      <c r="AF8" s="98">
        <v>375.2</v>
      </c>
      <c r="AG8" s="31">
        <v>14.193110000000001</v>
      </c>
      <c r="AH8" s="22">
        <v>1008.24079320832</v>
      </c>
      <c r="AI8" s="23">
        <v>6.9776428684764298</v>
      </c>
      <c r="AJ8" s="22">
        <v>930.61866178426396</v>
      </c>
      <c r="AK8" s="23">
        <v>11.827098402530201</v>
      </c>
      <c r="AL8" s="24">
        <v>5.8079599999999996</v>
      </c>
      <c r="AM8" s="25">
        <v>0.21366667498699901</v>
      </c>
      <c r="AN8" s="24">
        <v>9.1941199999999998</v>
      </c>
      <c r="AO8" s="26">
        <v>1.0566820936308099</v>
      </c>
      <c r="AP8" s="20">
        <v>108.328784116042</v>
      </c>
      <c r="AQ8" s="26">
        <v>4.3094811966573801</v>
      </c>
      <c r="AS8" s="57"/>
      <c r="AT8" s="57"/>
    </row>
    <row r="9" spans="2:46">
      <c r="B9" s="27">
        <v>3</v>
      </c>
      <c r="C9" s="28">
        <v>275</v>
      </c>
      <c r="D9" s="29">
        <v>720</v>
      </c>
      <c r="E9" s="16">
        <f t="shared" si="0"/>
        <v>381.94444444444446</v>
      </c>
      <c r="F9" s="17">
        <f t="shared" si="2"/>
        <v>324.09060804383427</v>
      </c>
      <c r="G9" s="18">
        <f t="shared" si="1"/>
        <v>198</v>
      </c>
      <c r="H9" s="30">
        <v>2.3027000000000002</v>
      </c>
      <c r="I9" s="105">
        <v>0.54890000000000005</v>
      </c>
      <c r="J9" s="106">
        <v>2.1130870450916968</v>
      </c>
      <c r="K9" s="110">
        <v>0.87484357545638192</v>
      </c>
      <c r="L9" s="60">
        <v>57874</v>
      </c>
      <c r="M9" s="61">
        <v>57874</v>
      </c>
      <c r="N9" s="61">
        <v>0</v>
      </c>
      <c r="O9" s="61">
        <v>0</v>
      </c>
      <c r="P9" s="62">
        <v>0</v>
      </c>
      <c r="Q9" s="20">
        <v>51.670887460000003</v>
      </c>
      <c r="R9" s="18">
        <v>16.55119213</v>
      </c>
      <c r="S9" s="17">
        <v>4045.8731143784598</v>
      </c>
      <c r="T9" s="17">
        <v>1547400</v>
      </c>
      <c r="U9" s="17">
        <v>339011800</v>
      </c>
      <c r="V9" s="58">
        <v>0.97</v>
      </c>
      <c r="W9" s="59">
        <v>4.8810853022274198E-2</v>
      </c>
      <c r="X9" s="53">
        <v>15.257986840784474</v>
      </c>
      <c r="Y9" s="51">
        <v>3.1616515168044641</v>
      </c>
      <c r="Z9" s="51">
        <v>19.195109350812402</v>
      </c>
      <c r="AA9" s="54">
        <v>3.1919296094149634</v>
      </c>
      <c r="AB9" s="20">
        <v>187.84455299999999</v>
      </c>
      <c r="AC9" s="100">
        <v>88.093007</v>
      </c>
      <c r="AD9" s="58">
        <v>1.8807484560000001</v>
      </c>
      <c r="AE9" s="54">
        <v>0.59752951600000004</v>
      </c>
      <c r="AF9" s="98">
        <v>353.8</v>
      </c>
      <c r="AG9" s="31">
        <v>9.5364799999999992</v>
      </c>
      <c r="AH9" s="22">
        <v>991.75554757822204</v>
      </c>
      <c r="AI9" s="23">
        <v>16.015617378047001</v>
      </c>
      <c r="AJ9" s="22">
        <v>903.92611925552706</v>
      </c>
      <c r="AK9" s="23">
        <v>35.1259626857169</v>
      </c>
      <c r="AL9" s="24">
        <v>6.1288400000000003</v>
      </c>
      <c r="AM9" s="25">
        <v>0.63738698449215303</v>
      </c>
      <c r="AN9" s="24">
        <v>8.9837000000000007</v>
      </c>
      <c r="AO9" s="26">
        <v>0.68761393964927797</v>
      </c>
      <c r="AP9" s="20">
        <v>108.834</v>
      </c>
      <c r="AQ9" s="26">
        <v>11.881068133800101</v>
      </c>
      <c r="AS9" s="57"/>
      <c r="AT9" s="57"/>
    </row>
    <row r="10" spans="2:46">
      <c r="B10" s="27">
        <v>4</v>
      </c>
      <c r="C10" s="28">
        <v>275</v>
      </c>
      <c r="D10" s="29">
        <v>680</v>
      </c>
      <c r="E10" s="16">
        <f t="shared" si="0"/>
        <v>404.41176470588238</v>
      </c>
      <c r="F10" s="17">
        <f t="shared" si="2"/>
        <v>333.48648442495784</v>
      </c>
      <c r="G10" s="18">
        <f t="shared" si="1"/>
        <v>187</v>
      </c>
      <c r="H10" s="30">
        <v>1.6876</v>
      </c>
      <c r="I10" s="105">
        <v>0.1638</v>
      </c>
      <c r="J10" s="106">
        <v>2.3317883765890746</v>
      </c>
      <c r="K10" s="110">
        <v>0.8727589758057428</v>
      </c>
      <c r="L10" s="60">
        <v>67526</v>
      </c>
      <c r="M10" s="61">
        <v>67526</v>
      </c>
      <c r="N10" s="61">
        <v>0</v>
      </c>
      <c r="O10" s="61">
        <v>0</v>
      </c>
      <c r="P10" s="62">
        <v>0</v>
      </c>
      <c r="Q10" s="20">
        <v>52.442910140000002</v>
      </c>
      <c r="R10" s="18">
        <v>17.74741775</v>
      </c>
      <c r="S10" s="17">
        <v>4412.9662692086904</v>
      </c>
      <c r="T10" s="17">
        <v>1141000</v>
      </c>
      <c r="U10" s="17">
        <v>415251300</v>
      </c>
      <c r="V10" s="58">
        <v>0.97</v>
      </c>
      <c r="W10" s="59">
        <v>5.0141735778650602E-2</v>
      </c>
      <c r="X10" s="53">
        <v>14.375995482472701</v>
      </c>
      <c r="Y10" s="51">
        <v>5.1996270502546365</v>
      </c>
      <c r="Z10" s="51">
        <v>18.706818759463903</v>
      </c>
      <c r="AA10" s="54">
        <v>5.9787246205097544</v>
      </c>
      <c r="AB10" s="20">
        <v>167.05621199999999</v>
      </c>
      <c r="AC10" s="100">
        <v>63.480237999999993</v>
      </c>
      <c r="AD10" s="58">
        <v>1.8927375989999999</v>
      </c>
      <c r="AE10" s="54">
        <v>0.58455850399999998</v>
      </c>
      <c r="AF10" s="98">
        <v>377.9</v>
      </c>
      <c r="AG10" s="31">
        <v>19.25348</v>
      </c>
      <c r="AH10" s="22">
        <v>1009.01618145961</v>
      </c>
      <c r="AI10" s="23">
        <v>19.605390428197701</v>
      </c>
      <c r="AJ10" s="22">
        <v>928.72718503716305</v>
      </c>
      <c r="AK10" s="23">
        <v>20.883432777115601</v>
      </c>
      <c r="AL10" s="24">
        <v>5.5164499999999999</v>
      </c>
      <c r="AM10" s="25">
        <v>0.16795557944488401</v>
      </c>
      <c r="AN10" s="24">
        <v>8.4973749999999999</v>
      </c>
      <c r="AO10" s="26">
        <v>1.3339481108723901</v>
      </c>
      <c r="AP10" s="20">
        <v>107.84874552805201</v>
      </c>
      <c r="AQ10" s="26">
        <v>4.1484562980390196</v>
      </c>
      <c r="AS10" s="57"/>
      <c r="AT10" s="57"/>
    </row>
    <row r="11" spans="2:46">
      <c r="B11" s="27">
        <v>5</v>
      </c>
      <c r="C11" s="28">
        <v>275</v>
      </c>
      <c r="D11" s="29">
        <v>640</v>
      </c>
      <c r="E11" s="16">
        <f t="shared" si="0"/>
        <v>429.6875</v>
      </c>
      <c r="F11" s="17">
        <f t="shared" si="2"/>
        <v>343.75</v>
      </c>
      <c r="G11" s="18">
        <f t="shared" si="1"/>
        <v>176</v>
      </c>
      <c r="H11" s="30">
        <v>2.0607000000000002</v>
      </c>
      <c r="I11" s="105">
        <v>9.2799999999999994E-2</v>
      </c>
      <c r="J11" s="106">
        <v>2.5761569149780197</v>
      </c>
      <c r="K11" s="110">
        <v>0.86999839984618055</v>
      </c>
      <c r="L11" s="60">
        <v>93003</v>
      </c>
      <c r="M11" s="61">
        <v>93003</v>
      </c>
      <c r="N11" s="61">
        <v>0</v>
      </c>
      <c r="O11" s="61">
        <v>0</v>
      </c>
      <c r="P11" s="62">
        <v>0</v>
      </c>
      <c r="Q11" s="20">
        <v>49.90468877</v>
      </c>
      <c r="R11" s="18">
        <v>16.588585219999999</v>
      </c>
      <c r="S11" s="17">
        <v>4039.7814472310001</v>
      </c>
      <c r="T11" s="17">
        <v>1715500</v>
      </c>
      <c r="U11" s="17">
        <v>533824800</v>
      </c>
      <c r="V11" s="58">
        <v>0.96</v>
      </c>
      <c r="W11" s="59">
        <v>6.4265634070065705E-2</v>
      </c>
      <c r="X11" s="53">
        <v>15.83574784332491</v>
      </c>
      <c r="Y11" s="51">
        <v>4.146716883353065</v>
      </c>
      <c r="Z11" s="51">
        <v>19.994248467701563</v>
      </c>
      <c r="AA11" s="54">
        <v>4.3109785655655362</v>
      </c>
      <c r="AB11" s="20">
        <v>167.79797199999999</v>
      </c>
      <c r="AC11" s="100">
        <v>63.834035</v>
      </c>
      <c r="AD11" s="58">
        <v>1.886037156</v>
      </c>
      <c r="AE11" s="54">
        <v>0.57969194999999996</v>
      </c>
      <c r="AF11" s="98">
        <v>371</v>
      </c>
      <c r="AG11" s="31">
        <v>10.4983</v>
      </c>
      <c r="AH11" s="22">
        <v>994.56877303380202</v>
      </c>
      <c r="AI11" s="23">
        <v>26.596361673095402</v>
      </c>
      <c r="AJ11" s="22">
        <v>913.56875864616404</v>
      </c>
      <c r="AK11" s="23">
        <v>34.571387640625602</v>
      </c>
      <c r="AL11" s="24">
        <v>5.3723000000000001</v>
      </c>
      <c r="AM11" s="25">
        <v>0.37531180370459999</v>
      </c>
      <c r="AN11" s="24">
        <v>7.2253400000000001</v>
      </c>
      <c r="AO11" s="26">
        <v>1.2168445167727799</v>
      </c>
      <c r="AP11" s="20">
        <v>113.295295584286</v>
      </c>
      <c r="AQ11" s="26">
        <v>11.3945819829404</v>
      </c>
      <c r="AS11" s="57"/>
      <c r="AT11" s="57"/>
    </row>
    <row r="12" spans="2:46">
      <c r="B12" s="27">
        <v>6</v>
      </c>
      <c r="C12" s="28">
        <v>275</v>
      </c>
      <c r="D12" s="29">
        <v>600</v>
      </c>
      <c r="E12" s="16">
        <f t="shared" si="0"/>
        <v>458.33333333333331</v>
      </c>
      <c r="F12" s="17">
        <f t="shared" si="2"/>
        <v>355.02347340234655</v>
      </c>
      <c r="G12" s="18">
        <f t="shared" si="1"/>
        <v>165</v>
      </c>
      <c r="H12" s="30">
        <v>1.7519</v>
      </c>
      <c r="I12" s="105">
        <v>0.1885</v>
      </c>
      <c r="J12" s="106">
        <v>2.7962436662853718</v>
      </c>
      <c r="K12" s="110">
        <v>0.86765723177525311</v>
      </c>
      <c r="L12" s="60">
        <v>62355</v>
      </c>
      <c r="M12" s="61">
        <v>62355</v>
      </c>
      <c r="N12" s="61">
        <v>0</v>
      </c>
      <c r="O12" s="61">
        <v>0</v>
      </c>
      <c r="P12" s="62">
        <v>0</v>
      </c>
      <c r="Q12" s="20">
        <v>52.811366329999998</v>
      </c>
      <c r="R12" s="18">
        <v>18.597563149999999</v>
      </c>
      <c r="S12" s="17">
        <v>4468.3010340340998</v>
      </c>
      <c r="T12" s="17">
        <v>1165300</v>
      </c>
      <c r="U12" s="17">
        <v>456754200</v>
      </c>
      <c r="V12" s="58">
        <v>0.97</v>
      </c>
      <c r="W12" s="59">
        <v>5.4188243127943701E-2</v>
      </c>
      <c r="X12" s="53">
        <v>16.0677489950207</v>
      </c>
      <c r="Y12" s="51">
        <v>2.7993837677996383</v>
      </c>
      <c r="Z12" s="51">
        <v>20.14649305191201</v>
      </c>
      <c r="AA12" s="54">
        <v>2.7280913942485694</v>
      </c>
      <c r="AB12" s="20">
        <v>173.447463</v>
      </c>
      <c r="AC12" s="100">
        <v>63.240771000000002</v>
      </c>
      <c r="AD12" s="58">
        <v>1.9087056630000001</v>
      </c>
      <c r="AE12" s="54">
        <v>0.61021495699999995</v>
      </c>
      <c r="AF12" s="98">
        <v>378.1</v>
      </c>
      <c r="AG12" s="31">
        <v>11.65666</v>
      </c>
      <c r="AH12" s="22">
        <v>982.17820286009101</v>
      </c>
      <c r="AI12" s="23">
        <v>13.900667003435901</v>
      </c>
      <c r="AJ12" s="22">
        <v>891.82150228512501</v>
      </c>
      <c r="AK12" s="23">
        <v>44.357197064420397</v>
      </c>
      <c r="AL12" s="24">
        <v>5.2658250000000004</v>
      </c>
      <c r="AM12" s="25">
        <v>0.31760308956305899</v>
      </c>
      <c r="AN12" s="24">
        <v>6.9504999999999999</v>
      </c>
      <c r="AO12" s="26">
        <v>0.542107922834559</v>
      </c>
      <c r="AP12" s="20">
        <v>127.557600766622</v>
      </c>
      <c r="AQ12" s="26">
        <v>42.532170200563499</v>
      </c>
      <c r="AS12" s="57"/>
      <c r="AT12" s="57"/>
    </row>
    <row r="13" spans="2:46">
      <c r="B13" s="27">
        <v>7</v>
      </c>
      <c r="C13" s="28">
        <v>275</v>
      </c>
      <c r="D13" s="29">
        <v>840</v>
      </c>
      <c r="E13" s="16">
        <f t="shared" si="0"/>
        <v>327.38095238095241</v>
      </c>
      <c r="F13" s="17">
        <f t="shared" si="2"/>
        <v>300.04959907448955</v>
      </c>
      <c r="G13" s="18">
        <f t="shared" si="1"/>
        <v>231</v>
      </c>
      <c r="H13" s="30">
        <v>1.2318</v>
      </c>
      <c r="I13" s="105">
        <v>8.0000000000000004E-4</v>
      </c>
      <c r="J13" s="106">
        <v>1.2030926122978403</v>
      </c>
      <c r="K13" s="110">
        <v>0.88356094017025733</v>
      </c>
      <c r="L13" s="60">
        <v>56069</v>
      </c>
      <c r="M13" s="61">
        <v>56069</v>
      </c>
      <c r="N13" s="61">
        <v>0</v>
      </c>
      <c r="O13" s="61">
        <v>0</v>
      </c>
      <c r="P13" s="62">
        <v>0</v>
      </c>
      <c r="Q13" s="20">
        <v>50.065360060000003</v>
      </c>
      <c r="R13" s="18">
        <v>14.691121170000001</v>
      </c>
      <c r="S13" s="17">
        <v>3447.7307749664401</v>
      </c>
      <c r="T13" s="17">
        <v>475800</v>
      </c>
      <c r="U13" s="17">
        <v>208074000</v>
      </c>
      <c r="V13" s="58">
        <v>0.98</v>
      </c>
      <c r="W13" s="59">
        <v>4.9851220615146401E-2</v>
      </c>
      <c r="X13" s="53">
        <v>12.231432173385668</v>
      </c>
      <c r="Y13" s="51">
        <v>2.4491019135756429</v>
      </c>
      <c r="Z13" s="51">
        <v>14.842993208485849</v>
      </c>
      <c r="AA13" s="54">
        <v>1.7640019537076119</v>
      </c>
      <c r="AB13" s="20">
        <v>171.16743600000001</v>
      </c>
      <c r="AC13" s="100">
        <v>63.597239999999999</v>
      </c>
      <c r="AD13" s="58">
        <v>1.891246296</v>
      </c>
      <c r="AE13" s="54">
        <v>0.59631249399999997</v>
      </c>
      <c r="AF13" s="98">
        <v>388</v>
      </c>
      <c r="AG13" s="32">
        <v>29.23088169</v>
      </c>
      <c r="AH13" s="22">
        <v>1037.95662580198</v>
      </c>
      <c r="AI13" s="23">
        <v>7.8541390362024996</v>
      </c>
      <c r="AJ13" s="22">
        <v>960.04330030750202</v>
      </c>
      <c r="AK13" s="23">
        <v>12.7187707725408</v>
      </c>
      <c r="AL13" s="24">
        <v>6.06128</v>
      </c>
      <c r="AM13" s="25">
        <v>0.25045601809499402</v>
      </c>
      <c r="AN13" s="24">
        <v>10.756880000000001</v>
      </c>
      <c r="AO13" s="26">
        <v>0.77544669191376403</v>
      </c>
      <c r="AP13" s="20">
        <v>113.245</v>
      </c>
      <c r="AQ13" s="26">
        <v>6.5904170581230996</v>
      </c>
      <c r="AS13" s="57"/>
      <c r="AT13" s="57"/>
    </row>
    <row r="14" spans="2:46">
      <c r="B14" s="27">
        <v>8</v>
      </c>
      <c r="C14" s="28">
        <v>275</v>
      </c>
      <c r="D14" s="29">
        <v>880</v>
      </c>
      <c r="E14" s="16">
        <f t="shared" si="0"/>
        <v>312.5</v>
      </c>
      <c r="F14" s="17">
        <f t="shared" si="2"/>
        <v>293.15098498896435</v>
      </c>
      <c r="G14" s="18">
        <f t="shared" si="1"/>
        <v>242</v>
      </c>
      <c r="H14" s="30">
        <v>1.1349</v>
      </c>
      <c r="I14" s="105">
        <v>4.8899999999999999E-2</v>
      </c>
      <c r="J14" s="106">
        <v>1.0150454764649481</v>
      </c>
      <c r="K14" s="110">
        <v>0.8853291457780792</v>
      </c>
      <c r="L14" s="60">
        <v>50236</v>
      </c>
      <c r="M14" s="61">
        <v>50236</v>
      </c>
      <c r="N14" s="61">
        <v>0</v>
      </c>
      <c r="O14" s="61">
        <v>0</v>
      </c>
      <c r="P14" s="62">
        <v>0</v>
      </c>
      <c r="Q14" s="20">
        <v>49.247001949999998</v>
      </c>
      <c r="R14" s="18">
        <v>13.947583699999999</v>
      </c>
      <c r="S14" s="17">
        <v>3237.0193810565802</v>
      </c>
      <c r="T14" s="17">
        <v>515500</v>
      </c>
      <c r="U14" s="17">
        <v>165683600</v>
      </c>
      <c r="V14" s="58">
        <v>0.98</v>
      </c>
      <c r="W14" s="59">
        <v>5.15356065754514E-2</v>
      </c>
      <c r="X14" s="53">
        <v>11.487434547099793</v>
      </c>
      <c r="Y14" s="51">
        <v>2.0020017343088714</v>
      </c>
      <c r="Z14" s="51">
        <v>14.443513389299175</v>
      </c>
      <c r="AA14" s="54">
        <v>1.1122129793077187</v>
      </c>
      <c r="AB14" s="20">
        <v>164.17497499999999</v>
      </c>
      <c r="AC14" s="100">
        <v>61.598007000000003</v>
      </c>
      <c r="AD14" s="58">
        <v>1.880818554</v>
      </c>
      <c r="AE14" s="54">
        <v>0.59762057499999999</v>
      </c>
      <c r="AF14" s="98">
        <v>372.2</v>
      </c>
      <c r="AG14" s="31">
        <v>14.972569999999999</v>
      </c>
      <c r="AH14" s="22">
        <v>1052.5999999999999</v>
      </c>
      <c r="AI14" s="23">
        <v>8.8600225733346694</v>
      </c>
      <c r="AJ14" s="22">
        <v>974.15639999999996</v>
      </c>
      <c r="AK14" s="23">
        <v>19.216381157751901</v>
      </c>
      <c r="AL14" s="24">
        <v>6.1270600000000002</v>
      </c>
      <c r="AM14" s="25">
        <v>0.15596380349298999</v>
      </c>
      <c r="AN14" s="24">
        <v>11.86782</v>
      </c>
      <c r="AO14" s="26">
        <v>1.02552109778395</v>
      </c>
      <c r="AP14" s="20">
        <v>116.8824</v>
      </c>
      <c r="AQ14" s="26">
        <v>10.0158864210813</v>
      </c>
      <c r="AS14" s="57"/>
      <c r="AT14" s="57"/>
    </row>
    <row r="15" spans="2:46">
      <c r="B15" s="27">
        <v>9</v>
      </c>
      <c r="C15" s="28">
        <v>275</v>
      </c>
      <c r="D15" s="29">
        <v>920</v>
      </c>
      <c r="E15" s="16">
        <f t="shared" si="0"/>
        <v>298.91304347826087</v>
      </c>
      <c r="F15" s="17">
        <f t="shared" si="2"/>
        <v>286.70731932847781</v>
      </c>
      <c r="G15" s="18">
        <f t="shared" si="1"/>
        <v>253</v>
      </c>
      <c r="H15" s="30">
        <v>0.57410000000000005</v>
      </c>
      <c r="I15" s="105">
        <v>2.2200000000000001E-2</v>
      </c>
      <c r="J15" s="106">
        <v>0.8406395885394975</v>
      </c>
      <c r="K15" s="110">
        <v>0.88773681766658075</v>
      </c>
      <c r="L15" s="60">
        <v>35273</v>
      </c>
      <c r="M15" s="61">
        <v>35273</v>
      </c>
      <c r="N15" s="61">
        <v>0</v>
      </c>
      <c r="O15" s="61">
        <v>0</v>
      </c>
      <c r="P15" s="62">
        <v>0</v>
      </c>
      <c r="Q15" s="20">
        <v>47.378620359999999</v>
      </c>
      <c r="R15" s="18">
        <v>12.606617590000001</v>
      </c>
      <c r="S15" s="17">
        <v>3239.5925553319898</v>
      </c>
      <c r="T15" s="17">
        <v>402800</v>
      </c>
      <c r="U15" s="17">
        <v>128806200</v>
      </c>
      <c r="V15" s="58">
        <v>0.99</v>
      </c>
      <c r="W15" s="59">
        <v>3.8618856365415302E-2</v>
      </c>
      <c r="X15" s="53">
        <v>12.003506997025202</v>
      </c>
      <c r="Y15" s="51">
        <v>2.7263514466382577</v>
      </c>
      <c r="Z15" s="51">
        <v>14.888123263951643</v>
      </c>
      <c r="AA15" s="54">
        <v>2.5527054915616914</v>
      </c>
      <c r="AB15" s="20">
        <v>185.224782</v>
      </c>
      <c r="AC15" s="100">
        <v>71.142013000000006</v>
      </c>
      <c r="AD15" s="58">
        <v>1.8826620380000001</v>
      </c>
      <c r="AE15" s="54">
        <v>0.56933115000000001</v>
      </c>
      <c r="AF15" s="98">
        <v>379.9</v>
      </c>
      <c r="AG15" s="31">
        <v>26.235900000000001</v>
      </c>
      <c r="AH15" s="22">
        <v>1057.75</v>
      </c>
      <c r="AI15" s="23">
        <v>6.7961386095340899</v>
      </c>
      <c r="AJ15" s="22">
        <v>984.25</v>
      </c>
      <c r="AK15" s="23">
        <v>12.5532200384337</v>
      </c>
      <c r="AL15" s="24">
        <v>5.9168000000000003</v>
      </c>
      <c r="AM15" s="25">
        <v>0.25643334416569102</v>
      </c>
      <c r="AN15" s="24">
        <v>12.353325</v>
      </c>
      <c r="AO15" s="26">
        <v>0.91120042937874002</v>
      </c>
      <c r="AP15" s="20">
        <v>112.97775</v>
      </c>
      <c r="AQ15" s="26">
        <v>3.20063122680512</v>
      </c>
      <c r="AS15" s="57"/>
      <c r="AT15" s="57"/>
    </row>
    <row r="16" spans="2:46">
      <c r="B16" s="27">
        <v>10</v>
      </c>
      <c r="C16" s="28">
        <v>275</v>
      </c>
      <c r="D16" s="29">
        <v>960</v>
      </c>
      <c r="E16" s="16">
        <f t="shared" si="0"/>
        <v>286.45833333333331</v>
      </c>
      <c r="F16" s="17">
        <f t="shared" si="2"/>
        <v>280.67069969390582</v>
      </c>
      <c r="G16" s="18">
        <f t="shared" si="1"/>
        <v>264</v>
      </c>
      <c r="H16" s="30">
        <v>0.50109999999999999</v>
      </c>
      <c r="I16" s="105">
        <v>5.0799999999999998E-2</v>
      </c>
      <c r="J16" s="106">
        <v>0.71684533161800146</v>
      </c>
      <c r="K16" s="110">
        <v>0.88798556035559817</v>
      </c>
      <c r="L16" s="60">
        <v>22806</v>
      </c>
      <c r="M16" s="61">
        <v>22806</v>
      </c>
      <c r="N16" s="61">
        <v>0</v>
      </c>
      <c r="O16" s="61">
        <v>0</v>
      </c>
      <c r="P16" s="62">
        <v>0</v>
      </c>
      <c r="Q16" s="20">
        <v>46.597987519999997</v>
      </c>
      <c r="R16" s="18">
        <v>12.112239819999999</v>
      </c>
      <c r="S16" s="17">
        <v>2974.97571805189</v>
      </c>
      <c r="T16" s="17">
        <v>776500</v>
      </c>
      <c r="U16" s="17">
        <v>85762600</v>
      </c>
      <c r="V16" s="58">
        <v>0.99</v>
      </c>
      <c r="W16" s="59">
        <v>2.9865739894573699E-2</v>
      </c>
      <c r="X16" s="53">
        <v>10.826762206553864</v>
      </c>
      <c r="Y16" s="51">
        <v>1.4482625296505804</v>
      </c>
      <c r="Z16" s="51">
        <v>14.017228617665801</v>
      </c>
      <c r="AA16" s="54">
        <v>1.6220875774949113</v>
      </c>
      <c r="AB16" s="20">
        <v>201.80037200000001</v>
      </c>
      <c r="AC16" s="100">
        <v>104.81769200000001</v>
      </c>
      <c r="AD16" s="58">
        <v>2.0493112099999999</v>
      </c>
      <c r="AE16" s="54">
        <v>0.74009179700000005</v>
      </c>
      <c r="AF16" s="98">
        <v>350.3</v>
      </c>
      <c r="AG16" s="33">
        <v>11.24524591</v>
      </c>
      <c r="AH16" s="22">
        <v>1070.06546723254</v>
      </c>
      <c r="AI16" s="23">
        <v>9.7452867465629698</v>
      </c>
      <c r="AJ16" s="22">
        <v>994.15337553050199</v>
      </c>
      <c r="AK16" s="23">
        <v>14.3838382322272</v>
      </c>
      <c r="AL16" s="24">
        <v>6.3653000000000004</v>
      </c>
      <c r="AM16" s="25">
        <v>0.46570693574392902</v>
      </c>
      <c r="AN16" s="24">
        <v>14.029820000000001</v>
      </c>
      <c r="AO16" s="26">
        <v>0.62035688276990997</v>
      </c>
      <c r="AP16" s="20">
        <v>118.608460478559</v>
      </c>
      <c r="AQ16" s="26">
        <v>6.1964502132951704</v>
      </c>
      <c r="AS16" s="57"/>
      <c r="AT16" s="57"/>
    </row>
    <row r="17" spans="2:46">
      <c r="B17" s="27">
        <v>11</v>
      </c>
      <c r="C17" s="28">
        <v>275</v>
      </c>
      <c r="D17" s="29">
        <v>1000</v>
      </c>
      <c r="E17" s="16">
        <f t="shared" si="0"/>
        <v>275</v>
      </c>
      <c r="F17" s="17">
        <f t="shared" si="2"/>
        <v>275</v>
      </c>
      <c r="G17" s="18">
        <f t="shared" si="1"/>
        <v>275</v>
      </c>
      <c r="H17" s="30">
        <v>0.2838</v>
      </c>
      <c r="I17" s="105">
        <v>2.9999999999999997E-4</v>
      </c>
      <c r="J17" s="106">
        <v>0.66325462183017603</v>
      </c>
      <c r="K17" s="110">
        <v>0.88784835865216194</v>
      </c>
      <c r="L17" s="60">
        <v>17670</v>
      </c>
      <c r="M17" s="61">
        <v>17670</v>
      </c>
      <c r="N17" s="61">
        <v>0</v>
      </c>
      <c r="O17" s="61">
        <v>0</v>
      </c>
      <c r="P17" s="62">
        <v>0</v>
      </c>
      <c r="Q17" s="20">
        <v>45.259548629999998</v>
      </c>
      <c r="R17" s="18">
        <v>10.99072322</v>
      </c>
      <c r="S17" s="17">
        <v>3615.7888035312499</v>
      </c>
      <c r="T17" s="17">
        <v>1293200</v>
      </c>
      <c r="U17" s="17">
        <v>85191600</v>
      </c>
      <c r="V17" s="58">
        <v>0.99</v>
      </c>
      <c r="W17" s="59">
        <v>3.09660863725526E-2</v>
      </c>
      <c r="X17" s="53">
        <v>10.208501173349683</v>
      </c>
      <c r="Y17" s="51">
        <v>1.2563286631738442</v>
      </c>
      <c r="Z17" s="51">
        <v>11.936525290927101</v>
      </c>
      <c r="AA17" s="54">
        <v>1.0614631808626014</v>
      </c>
      <c r="AB17" s="20">
        <v>251.194625</v>
      </c>
      <c r="AC17" s="100">
        <v>122.435237</v>
      </c>
      <c r="AD17" s="58">
        <v>1.9512930369999999</v>
      </c>
      <c r="AE17" s="54">
        <v>0.63334434900000003</v>
      </c>
      <c r="AF17" s="98">
        <v>383.8</v>
      </c>
      <c r="AG17" s="31">
        <v>29.653960000000001</v>
      </c>
      <c r="AH17" s="22">
        <v>1081.16190173991</v>
      </c>
      <c r="AI17" s="23">
        <v>17.262781183277401</v>
      </c>
      <c r="AJ17" s="22">
        <v>1000.36793934105</v>
      </c>
      <c r="AK17" s="23">
        <v>19.350901961815602</v>
      </c>
      <c r="AL17" s="24">
        <v>6.3312799999999996</v>
      </c>
      <c r="AM17" s="25">
        <v>0.46415535330317997</v>
      </c>
      <c r="AN17" s="24">
        <v>13.90582</v>
      </c>
      <c r="AO17" s="26">
        <v>0.83778539137418795</v>
      </c>
      <c r="AP17" s="20">
        <v>117.854935787191</v>
      </c>
      <c r="AQ17" s="26">
        <v>6.0997633989292099</v>
      </c>
      <c r="AS17" s="57"/>
      <c r="AT17" s="57"/>
    </row>
    <row r="18" spans="2:46">
      <c r="B18" s="27">
        <v>12</v>
      </c>
      <c r="C18" s="28">
        <v>175</v>
      </c>
      <c r="D18" s="29">
        <v>800</v>
      </c>
      <c r="E18" s="16">
        <f t="shared" si="0"/>
        <v>218.75</v>
      </c>
      <c r="F18" s="17">
        <f t="shared" si="2"/>
        <v>195.65594803123162</v>
      </c>
      <c r="G18" s="18">
        <f t="shared" si="1"/>
        <v>140</v>
      </c>
      <c r="H18" s="30">
        <v>0.73680000000000001</v>
      </c>
      <c r="I18" s="105">
        <v>0.1135</v>
      </c>
      <c r="J18" s="106">
        <v>1.0991583345257678</v>
      </c>
      <c r="K18" s="110">
        <v>0.88345231256644652</v>
      </c>
      <c r="L18" s="60">
        <v>42124</v>
      </c>
      <c r="M18" s="61">
        <v>42122</v>
      </c>
      <c r="N18" s="61">
        <v>2</v>
      </c>
      <c r="O18" s="61">
        <v>0</v>
      </c>
      <c r="P18" s="62">
        <v>0</v>
      </c>
      <c r="Q18" s="20">
        <v>47.441694499999997</v>
      </c>
      <c r="R18" s="18">
        <v>12.42450067</v>
      </c>
      <c r="S18" s="17">
        <v>3594.49692633626</v>
      </c>
      <c r="T18" s="17">
        <v>330000</v>
      </c>
      <c r="U18" s="17">
        <v>206992700</v>
      </c>
      <c r="V18" s="58">
        <v>0.99</v>
      </c>
      <c r="W18" s="59">
        <v>2.5660877506786198E-2</v>
      </c>
      <c r="X18" s="53">
        <v>10.65910009182735</v>
      </c>
      <c r="Y18" s="51">
        <v>1.4485227363237261</v>
      </c>
      <c r="Z18" s="51">
        <v>12.596754468739917</v>
      </c>
      <c r="AA18" s="54">
        <v>1.0911718762510489</v>
      </c>
      <c r="AB18" s="20">
        <v>240.471138</v>
      </c>
      <c r="AC18" s="100">
        <v>127.729444</v>
      </c>
      <c r="AD18" s="58">
        <v>2.1036518310000001</v>
      </c>
      <c r="AE18" s="54">
        <v>0.79411238299999998</v>
      </c>
      <c r="AF18" s="98">
        <v>373.1</v>
      </c>
      <c r="AG18" s="31">
        <v>19.075579999999999</v>
      </c>
      <c r="AH18" s="22">
        <v>1091.1402545467199</v>
      </c>
      <c r="AI18" s="23">
        <v>21.9871053206836</v>
      </c>
      <c r="AJ18" s="22">
        <v>1025.28552065236</v>
      </c>
      <c r="AK18" s="23">
        <v>18.2784202382419</v>
      </c>
      <c r="AL18" s="24">
        <v>5.8559000000000001</v>
      </c>
      <c r="AM18" s="25">
        <v>0.41912891811470099</v>
      </c>
      <c r="AN18" s="24">
        <v>12.385300000000001</v>
      </c>
      <c r="AO18" s="26">
        <v>2.0514910309333598</v>
      </c>
      <c r="AP18" s="20">
        <v>115.589986354627</v>
      </c>
      <c r="AQ18" s="26">
        <v>7.2233071913663096</v>
      </c>
      <c r="AS18" s="57"/>
      <c r="AT18" s="57"/>
    </row>
    <row r="19" spans="2:46">
      <c r="B19" s="27">
        <v>13</v>
      </c>
      <c r="C19" s="28">
        <v>195</v>
      </c>
      <c r="D19" s="29">
        <v>800</v>
      </c>
      <c r="E19" s="16">
        <f t="shared" si="0"/>
        <v>243.75</v>
      </c>
      <c r="F19" s="17">
        <f t="shared" si="2"/>
        <v>218.01662780622951</v>
      </c>
      <c r="G19" s="18">
        <f t="shared" si="1"/>
        <v>156</v>
      </c>
      <c r="H19" s="30">
        <v>0.56110000000000004</v>
      </c>
      <c r="I19" s="105">
        <v>0.1192</v>
      </c>
      <c r="J19" s="106">
        <v>1.1168158088968128</v>
      </c>
      <c r="K19" s="110">
        <v>0.88387481880152341</v>
      </c>
      <c r="L19" s="60">
        <v>41642</v>
      </c>
      <c r="M19" s="61">
        <v>41641</v>
      </c>
      <c r="N19" s="61">
        <v>1</v>
      </c>
      <c r="O19" s="61">
        <v>0</v>
      </c>
      <c r="P19" s="62">
        <v>0</v>
      </c>
      <c r="Q19" s="20">
        <v>47.756957739999997</v>
      </c>
      <c r="R19" s="18">
        <v>13.30991672</v>
      </c>
      <c r="S19" s="17">
        <v>3506.5395369083599</v>
      </c>
      <c r="T19" s="17">
        <v>672800</v>
      </c>
      <c r="U19" s="17">
        <v>209442100</v>
      </c>
      <c r="V19" s="58">
        <v>0.99</v>
      </c>
      <c r="W19" s="59">
        <v>2.63101787872978E-2</v>
      </c>
      <c r="X19" s="53">
        <v>11.811238521579414</v>
      </c>
      <c r="Y19" s="51">
        <v>0.30691041562967675</v>
      </c>
      <c r="Z19" s="51">
        <v>13.098707834719001</v>
      </c>
      <c r="AA19" s="54">
        <v>0.93909286926360414</v>
      </c>
      <c r="AB19" s="20">
        <v>221.82850199999999</v>
      </c>
      <c r="AC19" s="100">
        <v>94.514376999999996</v>
      </c>
      <c r="AD19" s="58">
        <v>1.98910279</v>
      </c>
      <c r="AE19" s="54">
        <v>0.64048760199999999</v>
      </c>
      <c r="AF19" s="98">
        <v>368.6</v>
      </c>
      <c r="AG19" s="31">
        <v>6.1137370000000004</v>
      </c>
      <c r="AH19" s="22">
        <v>1084.6196116198801</v>
      </c>
      <c r="AI19" s="23">
        <v>21.304190851530201</v>
      </c>
      <c r="AJ19" s="22">
        <v>1014.33213895183</v>
      </c>
      <c r="AK19" s="23">
        <v>18.7989061582159</v>
      </c>
      <c r="AL19" s="24">
        <v>6.44536</v>
      </c>
      <c r="AM19" s="25">
        <v>0.18831263367071299</v>
      </c>
      <c r="AN19" s="24">
        <v>12.5313</v>
      </c>
      <c r="AO19" s="26">
        <v>2.2020731027829101</v>
      </c>
      <c r="AP19" s="20">
        <v>114.357226402143</v>
      </c>
      <c r="AQ19" s="26">
        <v>6.2173228383626196</v>
      </c>
      <c r="AS19" s="57"/>
      <c r="AT19" s="57"/>
    </row>
    <row r="20" spans="2:46">
      <c r="B20" s="27">
        <v>14</v>
      </c>
      <c r="C20" s="28">
        <v>215</v>
      </c>
      <c r="D20" s="29">
        <v>800</v>
      </c>
      <c r="E20" s="16">
        <f t="shared" si="0"/>
        <v>268.75</v>
      </c>
      <c r="F20" s="17">
        <f t="shared" si="2"/>
        <v>240.3773075812274</v>
      </c>
      <c r="G20" s="18">
        <f t="shared" si="1"/>
        <v>172</v>
      </c>
      <c r="H20" s="30">
        <v>0.44440000000000002</v>
      </c>
      <c r="I20" s="105">
        <v>1.6999999999999999E-3</v>
      </c>
      <c r="J20" s="106">
        <v>0.91524885767336295</v>
      </c>
      <c r="K20" s="110">
        <v>0.88527853907506782</v>
      </c>
      <c r="L20" s="60">
        <v>31408</v>
      </c>
      <c r="M20" s="61">
        <v>31408</v>
      </c>
      <c r="N20" s="61">
        <v>0</v>
      </c>
      <c r="O20" s="61">
        <v>0</v>
      </c>
      <c r="P20" s="62">
        <v>0</v>
      </c>
      <c r="Q20" s="20">
        <v>47.14555593</v>
      </c>
      <c r="R20" s="18">
        <v>12.638111889999999</v>
      </c>
      <c r="S20" s="17">
        <v>3588.1291598255698</v>
      </c>
      <c r="T20" s="17">
        <v>518400</v>
      </c>
      <c r="U20" s="17">
        <v>203242400</v>
      </c>
      <c r="V20" s="58">
        <v>0.99</v>
      </c>
      <c r="W20" s="59">
        <v>2.8312193412085001E-2</v>
      </c>
      <c r="X20" s="53">
        <v>10.190568182987247</v>
      </c>
      <c r="Y20" s="51">
        <v>2.7283438947595893</v>
      </c>
      <c r="Z20" s="51">
        <v>12.769338529423587</v>
      </c>
      <c r="AA20" s="54">
        <v>1.7261490048101029</v>
      </c>
      <c r="AB20" s="20">
        <v>188.643114</v>
      </c>
      <c r="AC20" s="100">
        <v>67.226883999999998</v>
      </c>
      <c r="AD20" s="58">
        <v>1.9609515500000001</v>
      </c>
      <c r="AE20" s="54">
        <v>0.67947288699999997</v>
      </c>
      <c r="AF20" s="98">
        <v>378.3</v>
      </c>
      <c r="AG20" s="31">
        <v>20.49417</v>
      </c>
      <c r="AH20" s="22">
        <v>1076.35675473112</v>
      </c>
      <c r="AI20" s="23">
        <v>18.368281554907501</v>
      </c>
      <c r="AJ20" s="22">
        <v>1004.69829966006</v>
      </c>
      <c r="AK20" s="23">
        <v>14.884737183301199</v>
      </c>
      <c r="AL20" s="24">
        <v>6.47058</v>
      </c>
      <c r="AM20" s="25">
        <v>0.223362221514741</v>
      </c>
      <c r="AN20" s="24">
        <v>12.81644</v>
      </c>
      <c r="AO20" s="26">
        <v>0.96340197633179103</v>
      </c>
      <c r="AP20" s="20">
        <v>111.303895730614</v>
      </c>
      <c r="AQ20" s="26">
        <v>8.8293941977202408</v>
      </c>
      <c r="AS20" s="57"/>
      <c r="AT20" s="57"/>
    </row>
    <row r="21" spans="2:46">
      <c r="B21" s="27">
        <v>15</v>
      </c>
      <c r="C21" s="28">
        <v>235</v>
      </c>
      <c r="D21" s="29">
        <v>800</v>
      </c>
      <c r="E21" s="16">
        <f t="shared" si="0"/>
        <v>293.75</v>
      </c>
      <c r="F21" s="17">
        <f t="shared" si="2"/>
        <v>262.73798735622529</v>
      </c>
      <c r="G21" s="18">
        <f t="shared" si="1"/>
        <v>188</v>
      </c>
      <c r="H21" s="30">
        <v>0.77639999999999998</v>
      </c>
      <c r="I21" s="105">
        <v>0.17799999999999999</v>
      </c>
      <c r="J21" s="106">
        <v>1.1020304420507265</v>
      </c>
      <c r="K21" s="110">
        <v>0.88125642821195682</v>
      </c>
      <c r="L21" s="60">
        <v>48679</v>
      </c>
      <c r="M21" s="61">
        <v>48679</v>
      </c>
      <c r="N21" s="61">
        <v>0</v>
      </c>
      <c r="O21" s="61">
        <v>0</v>
      </c>
      <c r="P21" s="62">
        <v>0</v>
      </c>
      <c r="Q21" s="20">
        <v>50.040002770000001</v>
      </c>
      <c r="R21" s="18">
        <v>14.79559714</v>
      </c>
      <c r="S21" s="17">
        <v>3731.26605504587</v>
      </c>
      <c r="T21" s="17">
        <v>626500</v>
      </c>
      <c r="U21" s="17">
        <v>244024800</v>
      </c>
      <c r="V21" s="58">
        <v>0.98</v>
      </c>
      <c r="W21" s="59">
        <v>3.7784205508962797E-2</v>
      </c>
      <c r="X21" s="53">
        <v>10.190568182987247</v>
      </c>
      <c r="Y21" s="51">
        <v>2.7283438947595893</v>
      </c>
      <c r="Z21" s="51">
        <v>12.769338529423587</v>
      </c>
      <c r="AA21" s="54">
        <v>1.7261490048101029</v>
      </c>
      <c r="AB21" s="20">
        <v>208.03538</v>
      </c>
      <c r="AC21" s="100">
        <v>102.167822</v>
      </c>
      <c r="AD21" s="58">
        <v>2.0563326050000001</v>
      </c>
      <c r="AE21" s="54">
        <v>0.743890736</v>
      </c>
      <c r="AF21" s="98">
        <v>361.1</v>
      </c>
      <c r="AG21" s="31">
        <v>19.64377</v>
      </c>
      <c r="AH21" s="22">
        <v>1055.8</v>
      </c>
      <c r="AI21" s="23">
        <v>6.9776428684764298</v>
      </c>
      <c r="AJ21" s="22">
        <v>987.81759999999997</v>
      </c>
      <c r="AK21" s="23">
        <v>15.9272831581535</v>
      </c>
      <c r="AL21" s="24">
        <v>5.9293040000000001</v>
      </c>
      <c r="AM21" s="25">
        <v>0.67394116440531604</v>
      </c>
      <c r="AN21" s="24">
        <v>11.86186</v>
      </c>
      <c r="AO21" s="26">
        <v>1.4071493410438001</v>
      </c>
      <c r="AP21" s="20">
        <v>115.55200000000001</v>
      </c>
      <c r="AQ21" s="26">
        <v>6.7298974732160701</v>
      </c>
      <c r="AS21" s="57"/>
      <c r="AT21" s="57"/>
    </row>
    <row r="22" spans="2:46">
      <c r="B22" s="27">
        <v>16</v>
      </c>
      <c r="C22" s="28">
        <v>255</v>
      </c>
      <c r="D22" s="29">
        <v>800</v>
      </c>
      <c r="E22" s="16">
        <f t="shared" si="0"/>
        <v>318.75</v>
      </c>
      <c r="F22" s="17">
        <f t="shared" si="2"/>
        <v>285.09866713122318</v>
      </c>
      <c r="G22" s="18">
        <f t="shared" si="1"/>
        <v>204</v>
      </c>
      <c r="H22" s="30">
        <v>0.6089</v>
      </c>
      <c r="I22" s="105">
        <v>9.7500000000000003E-2</v>
      </c>
      <c r="J22" s="106">
        <v>1.3991287680243665</v>
      </c>
      <c r="K22" s="110">
        <v>0.87910325874968465</v>
      </c>
      <c r="L22" s="60">
        <v>29954</v>
      </c>
      <c r="M22" s="61">
        <v>29954</v>
      </c>
      <c r="N22" s="61">
        <v>0</v>
      </c>
      <c r="O22" s="61">
        <v>0</v>
      </c>
      <c r="P22" s="62">
        <v>0</v>
      </c>
      <c r="Q22" s="20">
        <v>47.72606854</v>
      </c>
      <c r="R22" s="18">
        <v>13.289334719999999</v>
      </c>
      <c r="S22" s="17">
        <v>3598.6068999426302</v>
      </c>
      <c r="T22" s="17">
        <v>992300</v>
      </c>
      <c r="U22" s="17">
        <v>219569000</v>
      </c>
      <c r="V22" s="58">
        <v>0.99</v>
      </c>
      <c r="W22" s="59">
        <v>3.3045311805679801E-2</v>
      </c>
      <c r="X22" s="53">
        <v>11.073695307326318</v>
      </c>
      <c r="Y22" s="51">
        <v>2.4165281352493668</v>
      </c>
      <c r="Z22" s="51">
        <v>13.574501366018136</v>
      </c>
      <c r="AA22" s="54">
        <v>1.2424177712063136</v>
      </c>
      <c r="AB22" s="20">
        <v>197.173912</v>
      </c>
      <c r="AC22" s="100">
        <v>94.811879000000005</v>
      </c>
      <c r="AD22" s="58">
        <v>1.956305481</v>
      </c>
      <c r="AE22" s="54">
        <v>0.69243400099999997</v>
      </c>
      <c r="AF22" s="98">
        <v>371.7</v>
      </c>
      <c r="AG22" s="31">
        <v>16.34778</v>
      </c>
      <c r="AH22" s="22">
        <v>1041</v>
      </c>
      <c r="AI22" s="23">
        <v>15.215124054702899</v>
      </c>
      <c r="AJ22" s="22">
        <v>965.24011922616296</v>
      </c>
      <c r="AK22" s="23">
        <v>18.308262045578498</v>
      </c>
      <c r="AL22" s="24">
        <v>6.1307799999999997</v>
      </c>
      <c r="AM22" s="25">
        <v>0.27591140244651002</v>
      </c>
      <c r="AN22" s="24">
        <v>10.710660000000001</v>
      </c>
      <c r="AO22" s="26">
        <v>1.3270899924270401</v>
      </c>
      <c r="AP22" s="20">
        <v>113.79233281844699</v>
      </c>
      <c r="AQ22" s="26">
        <v>5.4858591451621299</v>
      </c>
      <c r="AS22" s="57"/>
      <c r="AT22" s="57"/>
    </row>
    <row r="23" spans="2:46">
      <c r="B23" s="27">
        <v>17</v>
      </c>
      <c r="C23" s="28">
        <v>295</v>
      </c>
      <c r="D23" s="29">
        <v>800</v>
      </c>
      <c r="E23" s="16">
        <f t="shared" si="0"/>
        <v>368.75</v>
      </c>
      <c r="F23" s="17">
        <f t="shared" si="2"/>
        <v>329.82002668121896</v>
      </c>
      <c r="G23" s="18">
        <f t="shared" si="1"/>
        <v>236</v>
      </c>
      <c r="H23" s="30">
        <v>1.0879000000000001</v>
      </c>
      <c r="I23" s="105">
        <v>0.30009999999999998</v>
      </c>
      <c r="J23" s="106">
        <v>1.5609745593162556</v>
      </c>
      <c r="K23" s="110">
        <v>0.87913014220745955</v>
      </c>
      <c r="L23" s="60">
        <v>40214</v>
      </c>
      <c r="M23" s="61">
        <v>40214</v>
      </c>
      <c r="N23" s="61">
        <v>0</v>
      </c>
      <c r="O23" s="61">
        <v>0</v>
      </c>
      <c r="P23" s="62">
        <v>0</v>
      </c>
      <c r="Q23" s="20">
        <v>49.679288999999997</v>
      </c>
      <c r="R23" s="18">
        <v>15.1991137</v>
      </c>
      <c r="S23" s="17">
        <v>3900.2642403770201</v>
      </c>
      <c r="T23" s="17">
        <v>849400</v>
      </c>
      <c r="U23" s="17">
        <v>286349600</v>
      </c>
      <c r="V23" s="58">
        <v>0.98</v>
      </c>
      <c r="W23" s="59">
        <v>3.9452177799779699E-2</v>
      </c>
      <c r="X23" s="53">
        <v>11.499166227012397</v>
      </c>
      <c r="Y23" s="51">
        <v>2.6257535920336283</v>
      </c>
      <c r="Z23" s="51">
        <v>15.074271540243201</v>
      </c>
      <c r="AA23" s="54">
        <v>2.1084375795535624</v>
      </c>
      <c r="AB23" s="20">
        <v>228.575143</v>
      </c>
      <c r="AC23" s="100">
        <v>101.120009</v>
      </c>
      <c r="AD23" s="58">
        <v>1.9271838619999999</v>
      </c>
      <c r="AE23" s="54">
        <v>0.62546981400000001</v>
      </c>
      <c r="AF23" s="98">
        <v>389.9</v>
      </c>
      <c r="AG23" s="31">
        <v>26.955729999999999</v>
      </c>
      <c r="AH23" s="22">
        <v>1014</v>
      </c>
      <c r="AI23" s="23">
        <v>14.7139389695622</v>
      </c>
      <c r="AJ23" s="22">
        <v>940.07457717711702</v>
      </c>
      <c r="AK23" s="23">
        <v>25.4130764158656</v>
      </c>
      <c r="AL23" s="24">
        <v>5.7098000000000004</v>
      </c>
      <c r="AM23" s="25">
        <v>0.169812249263709</v>
      </c>
      <c r="AN23" s="24">
        <v>9.2815399999999997</v>
      </c>
      <c r="AO23" s="26">
        <v>0.572891139746462</v>
      </c>
      <c r="AP23" s="20">
        <v>108.557014208604</v>
      </c>
      <c r="AQ23" s="26">
        <v>3.7606801081175001</v>
      </c>
      <c r="AS23" s="57"/>
      <c r="AT23" s="57"/>
    </row>
    <row r="24" spans="2:46">
      <c r="B24" s="27">
        <v>18</v>
      </c>
      <c r="C24" s="28">
        <v>315</v>
      </c>
      <c r="D24" s="29">
        <v>800</v>
      </c>
      <c r="E24" s="16">
        <f t="shared" si="0"/>
        <v>393.75</v>
      </c>
      <c r="F24" s="17">
        <f t="shared" si="2"/>
        <v>352.18070645621691</v>
      </c>
      <c r="G24" s="18">
        <f t="shared" si="1"/>
        <v>252</v>
      </c>
      <c r="H24" s="30">
        <v>0.83379999999999999</v>
      </c>
      <c r="I24" s="105">
        <v>5.6599999999999998E-2</v>
      </c>
      <c r="J24" s="106">
        <v>1.6791437320152176</v>
      </c>
      <c r="K24" s="110">
        <v>0.87736259484201251</v>
      </c>
      <c r="L24" s="60">
        <v>44417</v>
      </c>
      <c r="M24" s="61">
        <v>44417</v>
      </c>
      <c r="N24" s="61">
        <v>0</v>
      </c>
      <c r="O24" s="61">
        <v>0</v>
      </c>
      <c r="P24" s="62">
        <v>0</v>
      </c>
      <c r="Q24" s="20">
        <v>50.011493889999997</v>
      </c>
      <c r="R24" s="18">
        <v>15.546992769999999</v>
      </c>
      <c r="S24" s="17">
        <v>4564.3148334494399</v>
      </c>
      <c r="T24" s="17">
        <v>940700</v>
      </c>
      <c r="U24" s="17">
        <v>353798300</v>
      </c>
      <c r="V24" s="58">
        <v>0.98</v>
      </c>
      <c r="W24" s="59">
        <v>3.76915251543136E-2</v>
      </c>
      <c r="X24" s="53">
        <v>14.470143443580163</v>
      </c>
      <c r="Y24" s="51">
        <v>3.726096851378415</v>
      </c>
      <c r="Z24" s="51">
        <v>17.460463842429149</v>
      </c>
      <c r="AA24" s="54">
        <v>3.9375160390350401</v>
      </c>
      <c r="AB24" s="20">
        <v>167.641662</v>
      </c>
      <c r="AC24" s="100">
        <v>55.423831999999997</v>
      </c>
      <c r="AD24" s="58">
        <v>1.9458878580000001</v>
      </c>
      <c r="AE24" s="54">
        <v>0.62160426599999996</v>
      </c>
      <c r="AF24" s="98">
        <v>390.9</v>
      </c>
      <c r="AG24" s="31">
        <v>25.265039999999999</v>
      </c>
      <c r="AH24" s="22">
        <v>1001.2</v>
      </c>
      <c r="AI24" s="23">
        <v>6.9417216884574104</v>
      </c>
      <c r="AJ24" s="22">
        <v>926.70455388457901</v>
      </c>
      <c r="AK24" s="23">
        <v>17.2038094566803</v>
      </c>
      <c r="AL24" s="24">
        <v>6.0157800000000003</v>
      </c>
      <c r="AM24" s="25">
        <v>0.32253597008705898</v>
      </c>
      <c r="AN24" s="24">
        <v>9.7011599999999998</v>
      </c>
      <c r="AO24" s="26">
        <v>0.84903769233173598</v>
      </c>
      <c r="AP24" s="20">
        <v>108.387947569405</v>
      </c>
      <c r="AQ24" s="26">
        <v>6.5466704632992299</v>
      </c>
      <c r="AS24" s="57"/>
      <c r="AT24" s="57"/>
    </row>
    <row r="25" spans="2:46">
      <c r="B25" s="27">
        <v>19</v>
      </c>
      <c r="C25" s="28">
        <v>335</v>
      </c>
      <c r="D25" s="29">
        <v>800</v>
      </c>
      <c r="E25" s="16">
        <f t="shared" si="0"/>
        <v>418.75</v>
      </c>
      <c r="F25" s="17">
        <f t="shared" si="2"/>
        <v>374.5413862312148</v>
      </c>
      <c r="G25" s="18">
        <f t="shared" si="1"/>
        <v>268</v>
      </c>
      <c r="H25" s="30"/>
      <c r="I25" s="105" t="s">
        <v>21</v>
      </c>
      <c r="J25" s="106"/>
      <c r="K25" s="110"/>
      <c r="L25" s="60"/>
      <c r="M25" s="61"/>
      <c r="N25" s="61"/>
      <c r="O25" s="61"/>
      <c r="P25" s="62"/>
      <c r="Q25" s="20"/>
      <c r="R25" s="18"/>
      <c r="S25" s="17"/>
      <c r="T25" s="17"/>
      <c r="U25" s="17"/>
      <c r="V25" s="58"/>
      <c r="W25" s="63"/>
      <c r="X25" s="53"/>
      <c r="Y25" s="51"/>
      <c r="Z25" s="51"/>
      <c r="AA25" s="54"/>
      <c r="AB25" s="20">
        <v>178.95210900000001</v>
      </c>
      <c r="AC25" s="100">
        <v>69.481246999999996</v>
      </c>
      <c r="AD25" s="58">
        <v>1.959367047</v>
      </c>
      <c r="AE25" s="54">
        <v>0.63010984800000003</v>
      </c>
      <c r="AF25" s="98">
        <v>385.1</v>
      </c>
      <c r="AG25" s="31">
        <v>18.71096</v>
      </c>
      <c r="AH25" s="22">
        <v>1002.25232102908</v>
      </c>
      <c r="AI25" s="23">
        <v>11.6019685031499</v>
      </c>
      <c r="AJ25" s="22">
        <v>922.93306496235004</v>
      </c>
      <c r="AK25" s="23">
        <v>14.814021450980199</v>
      </c>
      <c r="AL25" s="24">
        <v>5.7157400000000003</v>
      </c>
      <c r="AM25" s="25">
        <v>0.48498271927976999</v>
      </c>
      <c r="AN25" s="24">
        <v>9.3251799999999996</v>
      </c>
      <c r="AO25" s="26">
        <v>0.80779741395971305</v>
      </c>
      <c r="AP25" s="20">
        <v>106.176696145653</v>
      </c>
      <c r="AQ25" s="26">
        <v>5.6332179374148996</v>
      </c>
      <c r="AS25" s="57"/>
      <c r="AT25" s="57"/>
    </row>
    <row r="26" spans="2:46">
      <c r="B26" s="27">
        <v>20</v>
      </c>
      <c r="C26" s="28">
        <v>355</v>
      </c>
      <c r="D26" s="29">
        <v>800</v>
      </c>
      <c r="E26" s="16">
        <f t="shared" si="0"/>
        <v>443.75</v>
      </c>
      <c r="F26" s="17">
        <f t="shared" si="2"/>
        <v>396.90206600621269</v>
      </c>
      <c r="G26" s="18">
        <f t="shared" si="1"/>
        <v>284</v>
      </c>
      <c r="H26" s="30">
        <v>0.4546</v>
      </c>
      <c r="I26" s="105">
        <v>8.6699999999999999E-2</v>
      </c>
      <c r="J26" s="106">
        <v>2.0801442877680945</v>
      </c>
      <c r="K26" s="110">
        <v>0.87294131763813265</v>
      </c>
      <c r="L26" s="60">
        <v>28498</v>
      </c>
      <c r="M26" s="61">
        <v>28498</v>
      </c>
      <c r="N26" s="61">
        <v>0</v>
      </c>
      <c r="O26" s="61">
        <v>0</v>
      </c>
      <c r="P26" s="62">
        <v>0</v>
      </c>
      <c r="Q26" s="20">
        <v>48.2347337</v>
      </c>
      <c r="R26" s="18">
        <v>14.582968599999999</v>
      </c>
      <c r="S26" s="17">
        <v>4447.3375228488703</v>
      </c>
      <c r="T26" s="17">
        <v>1181400</v>
      </c>
      <c r="U26" s="17">
        <v>333323500</v>
      </c>
      <c r="V26" s="58">
        <v>0.98</v>
      </c>
      <c r="W26" s="59">
        <v>4.0207843610301899E-2</v>
      </c>
      <c r="X26" s="53">
        <v>13.964141333322312</v>
      </c>
      <c r="Y26" s="51">
        <v>1.9835976081087836</v>
      </c>
      <c r="Z26" s="51">
        <v>17.505553416722471</v>
      </c>
      <c r="AA26" s="54">
        <v>1.5185463260242871</v>
      </c>
      <c r="AB26" s="20">
        <v>171.77669299999999</v>
      </c>
      <c r="AC26" s="100">
        <v>66.641288000000003</v>
      </c>
      <c r="AD26" s="58">
        <v>1.9140057690000001</v>
      </c>
      <c r="AE26" s="54">
        <v>0.60867544399999995</v>
      </c>
      <c r="AF26" s="98">
        <v>384.1</v>
      </c>
      <c r="AG26" s="31">
        <v>16.373760000000001</v>
      </c>
      <c r="AH26" s="22">
        <v>998.39572850678701</v>
      </c>
      <c r="AI26" s="23">
        <v>9.2525761121984296</v>
      </c>
      <c r="AJ26" s="22">
        <v>920.64018957655503</v>
      </c>
      <c r="AK26" s="23">
        <v>19.356414397778298</v>
      </c>
      <c r="AL26" s="24">
        <v>5.7730199999999998</v>
      </c>
      <c r="AM26" s="25">
        <v>0.45083711249186198</v>
      </c>
      <c r="AN26" s="24">
        <v>9.3204200000000004</v>
      </c>
      <c r="AO26" s="26">
        <v>0.91968547993322203</v>
      </c>
      <c r="AP26" s="20">
        <v>106.996929947564</v>
      </c>
      <c r="AQ26" s="26">
        <v>10.042689557030799</v>
      </c>
      <c r="AS26" s="57"/>
      <c r="AT26" s="57"/>
    </row>
    <row r="27" spans="2:46">
      <c r="B27" s="27">
        <v>21</v>
      </c>
      <c r="C27" s="28">
        <v>375</v>
      </c>
      <c r="D27" s="29">
        <v>800</v>
      </c>
      <c r="E27" s="16">
        <f t="shared" si="0"/>
        <v>468.75</v>
      </c>
      <c r="F27" s="17">
        <f t="shared" si="2"/>
        <v>419.26274578121058</v>
      </c>
      <c r="G27" s="18">
        <f t="shared" si="1"/>
        <v>300</v>
      </c>
      <c r="H27" s="30">
        <v>1.3623000000000001</v>
      </c>
      <c r="I27" s="105">
        <v>0.51180000000000003</v>
      </c>
      <c r="J27" s="106">
        <v>2.0075104879721271</v>
      </c>
      <c r="K27" s="110">
        <v>0.87343351953211734</v>
      </c>
      <c r="L27" s="60">
        <v>38997</v>
      </c>
      <c r="M27" s="61">
        <v>38997</v>
      </c>
      <c r="N27" s="61">
        <v>0</v>
      </c>
      <c r="O27" s="61">
        <v>0</v>
      </c>
      <c r="P27" s="62">
        <v>0</v>
      </c>
      <c r="Q27" s="20">
        <v>49.999375800000003</v>
      </c>
      <c r="R27" s="18">
        <v>16.174538429999998</v>
      </c>
      <c r="S27" s="17">
        <v>4760.1956097059401</v>
      </c>
      <c r="T27" s="17">
        <v>1492500</v>
      </c>
      <c r="U27" s="17">
        <v>370381300</v>
      </c>
      <c r="V27" s="58">
        <v>0.98</v>
      </c>
      <c r="W27" s="59">
        <v>4.3203691526857199E-2</v>
      </c>
      <c r="X27" s="53">
        <v>15.533519171195499</v>
      </c>
      <c r="Y27" s="51">
        <v>2.9836554281325487</v>
      </c>
      <c r="Z27" s="51">
        <v>18.747257143514176</v>
      </c>
      <c r="AA27" s="54">
        <v>3.2102666290205586</v>
      </c>
      <c r="AB27" s="20">
        <v>223.75608800000001</v>
      </c>
      <c r="AC27" s="100">
        <v>107.70386599999999</v>
      </c>
      <c r="AD27" s="58">
        <v>1.8849130039999999</v>
      </c>
      <c r="AE27" s="54">
        <v>0.60595636799999997</v>
      </c>
      <c r="AF27" s="98">
        <v>387.6</v>
      </c>
      <c r="AG27" s="31">
        <v>23.415330000000001</v>
      </c>
      <c r="AH27" s="22">
        <v>995.25476957436797</v>
      </c>
      <c r="AI27" s="23">
        <v>9.4037756367343004</v>
      </c>
      <c r="AJ27" s="22">
        <v>912.86560408654805</v>
      </c>
      <c r="AK27" s="23">
        <v>9.5513784941450393</v>
      </c>
      <c r="AL27" s="24">
        <v>5.7623800000000003</v>
      </c>
      <c r="AM27" s="25">
        <v>0.29060509630768699</v>
      </c>
      <c r="AN27" s="24">
        <v>9.1956000000000007</v>
      </c>
      <c r="AO27" s="26">
        <v>0.70395085055705398</v>
      </c>
      <c r="AP27" s="20">
        <v>104.481280966806</v>
      </c>
      <c r="AQ27" s="26">
        <v>5.7280928266127402</v>
      </c>
      <c r="AS27" s="57"/>
      <c r="AT27" s="57"/>
    </row>
    <row r="28" spans="2:46">
      <c r="B28" s="27">
        <v>22</v>
      </c>
      <c r="C28" s="28">
        <v>135</v>
      </c>
      <c r="D28" s="29">
        <v>400</v>
      </c>
      <c r="E28" s="16">
        <f t="shared" si="0"/>
        <v>337.5</v>
      </c>
      <c r="F28" s="17">
        <f t="shared" si="2"/>
        <v>213.4537420613656</v>
      </c>
      <c r="G28" s="18">
        <f t="shared" si="1"/>
        <v>54</v>
      </c>
      <c r="H28" s="30"/>
      <c r="I28" s="105"/>
      <c r="J28" s="106"/>
      <c r="K28" s="110"/>
      <c r="L28" s="60"/>
      <c r="M28" s="61"/>
      <c r="N28" s="61"/>
      <c r="O28" s="61"/>
      <c r="P28" s="62"/>
      <c r="Q28" s="20"/>
      <c r="R28" s="18"/>
      <c r="S28" s="17"/>
      <c r="T28" s="17"/>
      <c r="U28" s="17"/>
      <c r="V28" s="58"/>
      <c r="W28" s="63"/>
      <c r="X28" s="53"/>
      <c r="Y28" s="51"/>
      <c r="Z28" s="51"/>
      <c r="AA28" s="54"/>
      <c r="AB28" s="20">
        <v>263.86144899999999</v>
      </c>
      <c r="AC28" s="100">
        <v>114.75419100000001</v>
      </c>
      <c r="AD28" s="58">
        <v>2.4602401540000001</v>
      </c>
      <c r="AE28" s="54">
        <v>1.0214639350000001</v>
      </c>
      <c r="AF28" s="98">
        <v>382</v>
      </c>
      <c r="AG28" s="31">
        <v>10.198040000000001</v>
      </c>
      <c r="AH28" s="22">
        <v>969.4</v>
      </c>
      <c r="AI28" s="23">
        <v>15.083103128998401</v>
      </c>
      <c r="AJ28" s="22">
        <v>894.42060696032604</v>
      </c>
      <c r="AK28" s="23">
        <v>17.118828151656899</v>
      </c>
      <c r="AL28" s="24">
        <v>5.4345999999999997</v>
      </c>
      <c r="AM28" s="25">
        <v>0.31580975285763402</v>
      </c>
      <c r="AN28" s="24">
        <v>7.5714199999999998</v>
      </c>
      <c r="AO28" s="26">
        <v>0.62759189127967596</v>
      </c>
      <c r="AP28" s="20">
        <v>101.857870317098</v>
      </c>
      <c r="AQ28" s="26">
        <v>2.2758970549629698</v>
      </c>
      <c r="AS28" s="57"/>
      <c r="AT28" s="57"/>
    </row>
    <row r="29" spans="2:46">
      <c r="B29" s="27">
        <v>23</v>
      </c>
      <c r="C29" s="28">
        <v>205</v>
      </c>
      <c r="D29" s="29">
        <v>600</v>
      </c>
      <c r="E29" s="16">
        <f t="shared" si="0"/>
        <v>341.66666666666669</v>
      </c>
      <c r="F29" s="17">
        <f t="shared" si="2"/>
        <v>264.65386199084014</v>
      </c>
      <c r="G29" s="18">
        <f t="shared" si="1"/>
        <v>123</v>
      </c>
      <c r="H29" s="30"/>
      <c r="I29" s="105"/>
      <c r="J29" s="106"/>
      <c r="K29" s="110"/>
      <c r="L29" s="60"/>
      <c r="M29" s="61"/>
      <c r="N29" s="61"/>
      <c r="O29" s="61"/>
      <c r="P29" s="62"/>
      <c r="Q29" s="20"/>
      <c r="R29" s="18"/>
      <c r="S29" s="17"/>
      <c r="T29" s="17"/>
      <c r="U29" s="17"/>
      <c r="V29" s="58"/>
      <c r="W29" s="63"/>
      <c r="X29" s="53"/>
      <c r="Y29" s="51"/>
      <c r="Z29" s="51"/>
      <c r="AA29" s="54"/>
      <c r="AB29" s="20">
        <v>177.47888800000001</v>
      </c>
      <c r="AC29" s="100">
        <v>58.282954999999994</v>
      </c>
      <c r="AD29" s="58">
        <v>1.9255699509999999</v>
      </c>
      <c r="AE29" s="54">
        <v>0.62469727799999997</v>
      </c>
      <c r="AF29" s="98">
        <v>358.5</v>
      </c>
      <c r="AG29" s="31">
        <v>24.7622</v>
      </c>
      <c r="AH29" s="22">
        <v>1014.8</v>
      </c>
      <c r="AI29" s="23">
        <v>7.7781745930520199</v>
      </c>
      <c r="AJ29" s="22">
        <v>935.94469917486197</v>
      </c>
      <c r="AK29" s="23">
        <v>7.6550986092781397</v>
      </c>
      <c r="AL29" s="24">
        <v>5.6908799999999999</v>
      </c>
      <c r="AM29" s="25">
        <v>0.2163558919928</v>
      </c>
      <c r="AN29" s="24">
        <v>8.0277799999999999</v>
      </c>
      <c r="AO29" s="26">
        <v>0.80850611747840195</v>
      </c>
      <c r="AP29" s="20">
        <v>109.448498941358</v>
      </c>
      <c r="AQ29" s="26">
        <v>6.0395144944905299</v>
      </c>
      <c r="AS29" s="57"/>
      <c r="AT29" s="57"/>
    </row>
    <row r="30" spans="2:46">
      <c r="B30" s="27">
        <v>24</v>
      </c>
      <c r="C30" s="28">
        <v>345</v>
      </c>
      <c r="D30" s="29">
        <v>1000</v>
      </c>
      <c r="E30" s="16">
        <f t="shared" si="0"/>
        <v>345</v>
      </c>
      <c r="F30" s="17">
        <f t="shared" si="2"/>
        <v>345</v>
      </c>
      <c r="G30" s="18">
        <f t="shared" si="1"/>
        <v>345</v>
      </c>
      <c r="H30" s="30"/>
      <c r="I30" s="105"/>
      <c r="J30" s="106"/>
      <c r="K30" s="110"/>
      <c r="L30" s="60"/>
      <c r="M30" s="61"/>
      <c r="N30" s="61"/>
      <c r="O30" s="61"/>
      <c r="P30" s="62"/>
      <c r="Q30" s="20"/>
      <c r="R30" s="18"/>
      <c r="S30" s="17"/>
      <c r="T30" s="17"/>
      <c r="U30" s="17"/>
      <c r="V30" s="58"/>
      <c r="W30" s="63"/>
      <c r="X30" s="53"/>
      <c r="Y30" s="51"/>
      <c r="Z30" s="51"/>
      <c r="AA30" s="54"/>
      <c r="AB30" s="20">
        <v>188.272738</v>
      </c>
      <c r="AC30" s="100">
        <v>73.749251000000001</v>
      </c>
      <c r="AD30" s="58">
        <v>1.8772928799999999</v>
      </c>
      <c r="AE30" s="54">
        <v>0.57879401200000002</v>
      </c>
      <c r="AF30" s="98">
        <v>374.2</v>
      </c>
      <c r="AG30" s="32">
        <v>11.702326449999999</v>
      </c>
      <c r="AH30" s="22">
        <v>1038.4000000000001</v>
      </c>
      <c r="AI30" s="23">
        <v>8.9022469073824304</v>
      </c>
      <c r="AJ30" s="22">
        <v>954.88959385375699</v>
      </c>
      <c r="AK30" s="23">
        <v>11.5194067758339</v>
      </c>
      <c r="AL30" s="24">
        <v>5.9859999999999998</v>
      </c>
      <c r="AM30" s="25">
        <v>0.42723529816718098</v>
      </c>
      <c r="AN30" s="24">
        <v>12.456</v>
      </c>
      <c r="AO30" s="26">
        <v>1.32008711833727</v>
      </c>
      <c r="AP30" s="20">
        <v>111.648728774278</v>
      </c>
      <c r="AQ30" s="26">
        <v>4.3833040952409599</v>
      </c>
      <c r="AS30" s="57"/>
      <c r="AT30" s="57"/>
    </row>
    <row r="31" spans="2:46">
      <c r="B31" s="27">
        <v>25</v>
      </c>
      <c r="C31" s="28">
        <v>415</v>
      </c>
      <c r="D31" s="29">
        <v>1200</v>
      </c>
      <c r="E31" s="16">
        <f t="shared" si="0"/>
        <v>345.83333333333331</v>
      </c>
      <c r="F31" s="17">
        <f t="shared" si="2"/>
        <v>378.84143560773992</v>
      </c>
      <c r="G31" s="18">
        <f t="shared" si="1"/>
        <v>498</v>
      </c>
      <c r="H31" s="30"/>
      <c r="I31" s="105"/>
      <c r="J31" s="106"/>
      <c r="K31" s="110"/>
      <c r="L31" s="60"/>
      <c r="M31" s="61"/>
      <c r="N31" s="61"/>
      <c r="O31" s="61"/>
      <c r="P31" s="62"/>
      <c r="Q31" s="20"/>
      <c r="R31" s="18"/>
      <c r="S31" s="17"/>
      <c r="T31" s="17"/>
      <c r="U31" s="17"/>
      <c r="V31" s="58"/>
      <c r="W31" s="63"/>
      <c r="X31" s="53"/>
      <c r="Y31" s="51"/>
      <c r="Z31" s="51"/>
      <c r="AA31" s="54"/>
      <c r="AB31" s="20">
        <v>211.43506400000001</v>
      </c>
      <c r="AC31" s="100">
        <v>102.00710599999999</v>
      </c>
      <c r="AD31" s="58">
        <v>1.8894503789999999</v>
      </c>
      <c r="AE31" s="54">
        <v>0.57315155399999995</v>
      </c>
      <c r="AF31" s="98">
        <v>389.9</v>
      </c>
      <c r="AG31" s="31">
        <v>21.53744</v>
      </c>
      <c r="AH31" s="22">
        <v>1054</v>
      </c>
      <c r="AI31" s="23">
        <v>20.934421415458299</v>
      </c>
      <c r="AJ31" s="22">
        <v>976.73574758663597</v>
      </c>
      <c r="AK31" s="23">
        <v>20.495465313638601</v>
      </c>
      <c r="AL31" s="24">
        <v>5.8228799999999996</v>
      </c>
      <c r="AM31" s="25">
        <v>0.19280941885706701</v>
      </c>
      <c r="AN31" s="24">
        <v>13.582599999999999</v>
      </c>
      <c r="AO31" s="26">
        <v>1.53723088701727</v>
      </c>
      <c r="AP31" s="20">
        <v>112.604011400407</v>
      </c>
      <c r="AQ31" s="26">
        <v>5.1326606999823303</v>
      </c>
      <c r="AS31" s="57"/>
      <c r="AT31" s="57"/>
    </row>
    <row r="32" spans="2:46">
      <c r="B32" s="27">
        <v>26</v>
      </c>
      <c r="C32" s="28">
        <v>485</v>
      </c>
      <c r="D32" s="29">
        <v>1400</v>
      </c>
      <c r="E32" s="16">
        <f t="shared" si="0"/>
        <v>346.42857142857144</v>
      </c>
      <c r="F32" s="17">
        <f t="shared" si="2"/>
        <v>409.89981354333054</v>
      </c>
      <c r="G32" s="18">
        <f t="shared" si="1"/>
        <v>679</v>
      </c>
      <c r="H32" s="30"/>
      <c r="I32" s="105"/>
      <c r="J32" s="106"/>
      <c r="K32" s="110"/>
      <c r="L32" s="60"/>
      <c r="M32" s="61"/>
      <c r="N32" s="61"/>
      <c r="O32" s="61"/>
      <c r="P32" s="62"/>
      <c r="Q32" s="20"/>
      <c r="R32" s="18"/>
      <c r="S32" s="17"/>
      <c r="T32" s="17"/>
      <c r="U32" s="17"/>
      <c r="V32" s="58"/>
      <c r="W32" s="63"/>
      <c r="X32" s="53"/>
      <c r="Y32" s="51"/>
      <c r="Z32" s="51"/>
      <c r="AA32" s="54"/>
      <c r="AB32" s="20">
        <v>257.36092100000002</v>
      </c>
      <c r="AC32" s="100">
        <v>128.72366199999999</v>
      </c>
      <c r="AD32" s="58">
        <v>1.945257776</v>
      </c>
      <c r="AE32" s="54">
        <v>0.59981416600000004</v>
      </c>
      <c r="AF32" s="98">
        <v>384.1</v>
      </c>
      <c r="AG32" s="31">
        <v>21.231269999999999</v>
      </c>
      <c r="AH32" s="22">
        <v>1037.25</v>
      </c>
      <c r="AI32" s="23">
        <v>11.475517417528501</v>
      </c>
      <c r="AJ32" s="22">
        <v>962.25</v>
      </c>
      <c r="AK32" s="23">
        <v>12.2848144742469</v>
      </c>
      <c r="AL32" s="24">
        <v>5.8415249999999999</v>
      </c>
      <c r="AM32" s="25">
        <v>0.31653430962008899</v>
      </c>
      <c r="AN32" s="24">
        <v>7.8834999999999997</v>
      </c>
      <c r="AO32" s="26">
        <v>1.3342847022531099</v>
      </c>
      <c r="AP32" s="20">
        <v>109.25</v>
      </c>
      <c r="AQ32" s="26">
        <v>5.3774219349672299</v>
      </c>
      <c r="AS32" s="57"/>
      <c r="AT32" s="57"/>
    </row>
    <row r="33" spans="2:46">
      <c r="B33" s="27">
        <v>27</v>
      </c>
      <c r="C33" s="28">
        <v>500</v>
      </c>
      <c r="D33" s="29">
        <v>1480</v>
      </c>
      <c r="E33" s="16">
        <f t="shared" si="0"/>
        <v>337.83783783783781</v>
      </c>
      <c r="F33" s="17">
        <f t="shared" si="2"/>
        <v>410.99746826339327</v>
      </c>
      <c r="G33" s="18">
        <f t="shared" si="1"/>
        <v>740</v>
      </c>
      <c r="H33" s="30"/>
      <c r="I33" s="105"/>
      <c r="J33" s="106"/>
      <c r="K33" s="110"/>
      <c r="L33" s="60"/>
      <c r="M33" s="61"/>
      <c r="N33" s="61"/>
      <c r="O33" s="61"/>
      <c r="P33" s="62"/>
      <c r="Q33" s="20"/>
      <c r="R33" s="18"/>
      <c r="S33" s="17"/>
      <c r="T33" s="17"/>
      <c r="U33" s="17"/>
      <c r="V33" s="58"/>
      <c r="W33" s="63"/>
      <c r="X33" s="53"/>
      <c r="Y33" s="51"/>
      <c r="Z33" s="51"/>
      <c r="AA33" s="54"/>
      <c r="AB33" s="20">
        <v>195.52262400000001</v>
      </c>
      <c r="AC33" s="100">
        <v>98.476887000000005</v>
      </c>
      <c r="AD33" s="58">
        <v>1.879699349</v>
      </c>
      <c r="AE33" s="54">
        <v>0.56566222499999996</v>
      </c>
      <c r="AF33" s="98">
        <v>364.8</v>
      </c>
      <c r="AG33" s="31">
        <v>14.09334</v>
      </c>
      <c r="AH33" s="22">
        <v>1015.4</v>
      </c>
      <c r="AI33" s="23">
        <v>23.885141824992399</v>
      </c>
      <c r="AJ33" s="22">
        <v>945.50279999999998</v>
      </c>
      <c r="AK33" s="23">
        <v>24.686960914620499</v>
      </c>
      <c r="AL33" s="24">
        <v>4.20594</v>
      </c>
      <c r="AM33" s="25">
        <v>1.07300625254469</v>
      </c>
      <c r="AN33" s="24">
        <v>4.4660000000000002</v>
      </c>
      <c r="AO33" s="26">
        <v>1.1819179328532099</v>
      </c>
      <c r="AP33" s="20">
        <v>108</v>
      </c>
      <c r="AQ33" s="26">
        <v>5.1478150704935004</v>
      </c>
      <c r="AS33" s="57"/>
      <c r="AT33" s="57"/>
    </row>
    <row r="34" spans="2:46">
      <c r="B34" s="27">
        <v>28</v>
      </c>
      <c r="C34" s="28">
        <v>155</v>
      </c>
      <c r="D34" s="29">
        <v>400</v>
      </c>
      <c r="E34" s="16">
        <f t="shared" si="0"/>
        <v>387.5</v>
      </c>
      <c r="F34" s="17">
        <f t="shared" si="2"/>
        <v>245.0765186630494</v>
      </c>
      <c r="G34" s="18">
        <f t="shared" si="1"/>
        <v>62</v>
      </c>
      <c r="H34" s="30">
        <v>1.3591</v>
      </c>
      <c r="I34" s="105">
        <v>0.23050000000000001</v>
      </c>
      <c r="J34" s="106">
        <v>3.5887965876551289</v>
      </c>
      <c r="K34" s="110">
        <v>0.85836106993027139</v>
      </c>
      <c r="L34" s="60">
        <v>68407</v>
      </c>
      <c r="M34" s="61">
        <v>68405</v>
      </c>
      <c r="N34" s="61">
        <v>1</v>
      </c>
      <c r="O34" s="61">
        <v>0</v>
      </c>
      <c r="P34" s="62">
        <v>1</v>
      </c>
      <c r="Q34" s="20">
        <v>51.000878200000002</v>
      </c>
      <c r="R34" s="18">
        <v>16.06006412</v>
      </c>
      <c r="S34" s="17">
        <v>4310.8799931351105</v>
      </c>
      <c r="T34" s="17">
        <v>804900</v>
      </c>
      <c r="U34" s="17">
        <v>502368400</v>
      </c>
      <c r="V34" s="58">
        <v>0.97</v>
      </c>
      <c r="W34" s="59">
        <v>4.7259387312261002E-2</v>
      </c>
      <c r="X34" s="53">
        <v>17.623959166412654</v>
      </c>
      <c r="Y34" s="51">
        <v>7.6619036426362905</v>
      </c>
      <c r="Z34" s="51">
        <v>22.145178172862948</v>
      </c>
      <c r="AA34" s="54">
        <v>8.656763148316001</v>
      </c>
      <c r="AB34" s="20">
        <v>182.18123499999999</v>
      </c>
      <c r="AC34" s="100">
        <v>75.267756000000006</v>
      </c>
      <c r="AD34" s="58">
        <v>1.907569533</v>
      </c>
      <c r="AE34" s="54">
        <v>0.591071444</v>
      </c>
      <c r="AF34" s="98">
        <v>370</v>
      </c>
      <c r="AG34" s="31">
        <v>10.48809</v>
      </c>
      <c r="AH34" s="22">
        <v>964.8</v>
      </c>
      <c r="AI34" s="23">
        <v>7.79021822544144</v>
      </c>
      <c r="AJ34" s="22">
        <v>896.60640000000001</v>
      </c>
      <c r="AK34" s="23">
        <v>7.3120862139337603</v>
      </c>
      <c r="AL34" s="24">
        <v>4.1157219999999999</v>
      </c>
      <c r="AM34" s="25">
        <v>1.39317710877691</v>
      </c>
      <c r="AN34" s="24">
        <v>5.1029999999999998</v>
      </c>
      <c r="AO34" s="26">
        <v>2.1938824034118101</v>
      </c>
      <c r="AP34" s="20">
        <v>103.6</v>
      </c>
      <c r="AQ34" s="26">
        <v>8.3845095265018301</v>
      </c>
      <c r="AS34" s="57"/>
      <c r="AT34" s="57"/>
    </row>
    <row r="35" spans="2:46">
      <c r="B35" s="27">
        <v>29</v>
      </c>
      <c r="C35" s="28">
        <v>235</v>
      </c>
      <c r="D35" s="29">
        <v>600</v>
      </c>
      <c r="E35" s="16">
        <f t="shared" si="0"/>
        <v>391.66666666666669</v>
      </c>
      <c r="F35" s="17">
        <f t="shared" si="2"/>
        <v>303.38369545291431</v>
      </c>
      <c r="G35" s="18">
        <f t="shared" si="1"/>
        <v>141</v>
      </c>
      <c r="H35" s="30">
        <v>0.9718</v>
      </c>
      <c r="I35" s="105">
        <v>0.25629999999999997</v>
      </c>
      <c r="J35" s="106">
        <v>2.7060016426543694</v>
      </c>
      <c r="K35" s="110">
        <v>0.86763760824745195</v>
      </c>
      <c r="L35" s="60">
        <v>53425</v>
      </c>
      <c r="M35" s="61">
        <v>53425</v>
      </c>
      <c r="N35" s="61">
        <v>0</v>
      </c>
      <c r="O35" s="61">
        <v>0</v>
      </c>
      <c r="P35" s="62">
        <v>0</v>
      </c>
      <c r="Q35" s="20">
        <v>50.077511340000001</v>
      </c>
      <c r="R35" s="18">
        <v>15.84219942</v>
      </c>
      <c r="S35" s="17">
        <v>3607.9484883817699</v>
      </c>
      <c r="T35" s="17">
        <v>621400</v>
      </c>
      <c r="U35" s="17">
        <v>346565100</v>
      </c>
      <c r="V35" s="58">
        <v>0.98</v>
      </c>
      <c r="W35" s="59">
        <v>4.7006418744128198E-2</v>
      </c>
      <c r="X35" s="53">
        <v>13.777303505986932</v>
      </c>
      <c r="Y35" s="51">
        <v>3.0176864066300668</v>
      </c>
      <c r="Z35" s="51">
        <v>16.799816883651765</v>
      </c>
      <c r="AA35" s="54">
        <v>3.3545544583239897</v>
      </c>
      <c r="AB35" s="20">
        <v>191.28316599999999</v>
      </c>
      <c r="AC35" s="100">
        <v>73.232616000000007</v>
      </c>
      <c r="AD35" s="58">
        <v>1.891171752</v>
      </c>
      <c r="AE35" s="54">
        <v>0.60660361500000004</v>
      </c>
      <c r="AF35" s="98">
        <v>388.1</v>
      </c>
      <c r="AG35" s="31">
        <v>19.327529999999999</v>
      </c>
      <c r="AH35" s="22">
        <v>1003</v>
      </c>
      <c r="AI35" s="23">
        <v>12.429802894656101</v>
      </c>
      <c r="AJ35" s="22">
        <v>926.15599999999995</v>
      </c>
      <c r="AK35" s="23">
        <v>15.1575618092093</v>
      </c>
      <c r="AL35" s="24">
        <v>5.5344800000000003</v>
      </c>
      <c r="AM35" s="25">
        <v>0.23165135872685899</v>
      </c>
      <c r="AN35" s="24">
        <v>7.7921199999999997</v>
      </c>
      <c r="AO35" s="26">
        <v>0.51200046093729301</v>
      </c>
      <c r="AP35" s="20">
        <v>107.6</v>
      </c>
      <c r="AQ35" s="26">
        <v>5.8991524815010496</v>
      </c>
      <c r="AS35" s="57"/>
      <c r="AT35" s="57"/>
    </row>
    <row r="36" spans="2:46">
      <c r="B36" s="27">
        <v>30</v>
      </c>
      <c r="C36" s="28">
        <v>395</v>
      </c>
      <c r="D36" s="29">
        <v>1000</v>
      </c>
      <c r="E36" s="16">
        <f t="shared" si="0"/>
        <v>395</v>
      </c>
      <c r="F36" s="17">
        <f t="shared" si="2"/>
        <v>395</v>
      </c>
      <c r="G36" s="18">
        <f t="shared" si="1"/>
        <v>395</v>
      </c>
      <c r="H36" s="30">
        <v>0.45029999999999998</v>
      </c>
      <c r="I36" s="105">
        <v>5.7099999999999998E-2</v>
      </c>
      <c r="J36" s="106">
        <v>0.92959840533858151</v>
      </c>
      <c r="K36" s="110">
        <v>0.88602387677030736</v>
      </c>
      <c r="L36" s="60">
        <v>22826</v>
      </c>
      <c r="M36" s="61">
        <v>22826</v>
      </c>
      <c r="N36" s="61">
        <v>0</v>
      </c>
      <c r="O36" s="61">
        <v>0</v>
      </c>
      <c r="P36" s="62">
        <v>0</v>
      </c>
      <c r="Q36" s="20">
        <v>46.93807829</v>
      </c>
      <c r="R36" s="18">
        <v>12.70506127</v>
      </c>
      <c r="S36" s="17">
        <v>4073.6786876071201</v>
      </c>
      <c r="T36" s="17">
        <v>687700</v>
      </c>
      <c r="U36" s="17">
        <v>116462400</v>
      </c>
      <c r="V36" s="58">
        <v>0.99</v>
      </c>
      <c r="W36" s="59">
        <v>2.8266043072722E-2</v>
      </c>
      <c r="X36" s="53">
        <v>13.684973668390038</v>
      </c>
      <c r="Y36" s="51">
        <v>2.1124023098948195</v>
      </c>
      <c r="Z36" s="51">
        <v>17.318744970533011</v>
      </c>
      <c r="AA36" s="54">
        <v>0.97227038246989395</v>
      </c>
      <c r="AB36" s="20">
        <v>164.124481</v>
      </c>
      <c r="AC36" s="100">
        <v>58.194004</v>
      </c>
      <c r="AD36" s="58">
        <v>1.8990075399999999</v>
      </c>
      <c r="AE36" s="54">
        <v>0.58590770999999997</v>
      </c>
      <c r="AF36" s="98">
        <v>386.8</v>
      </c>
      <c r="AG36" s="31">
        <v>20.5548</v>
      </c>
      <c r="AH36" s="22">
        <v>1036</v>
      </c>
      <c r="AI36" s="23">
        <v>8.1967981553775004</v>
      </c>
      <c r="AJ36" s="22">
        <v>955.11779999999999</v>
      </c>
      <c r="AK36" s="23">
        <v>13.3147055618966</v>
      </c>
      <c r="AL36" s="24">
        <v>6.2356199999999999</v>
      </c>
      <c r="AM36" s="25">
        <v>0.31380873474140297</v>
      </c>
      <c r="AN36" s="24">
        <v>12.39354</v>
      </c>
      <c r="AO36" s="26">
        <v>1.0887041186658599</v>
      </c>
      <c r="AP36" s="20">
        <v>110</v>
      </c>
      <c r="AQ36" s="26">
        <v>4.8989794855663602</v>
      </c>
      <c r="AS36" s="57"/>
      <c r="AT36" s="57"/>
    </row>
    <row r="37" spans="2:46">
      <c r="B37" s="27">
        <v>31</v>
      </c>
      <c r="C37" s="28">
        <v>475</v>
      </c>
      <c r="D37" s="29">
        <v>1200</v>
      </c>
      <c r="E37" s="16">
        <f t="shared" si="0"/>
        <v>395.83333333333331</v>
      </c>
      <c r="F37" s="17">
        <f t="shared" si="2"/>
        <v>433.61369135825652</v>
      </c>
      <c r="G37" s="18">
        <f t="shared" si="1"/>
        <v>570</v>
      </c>
      <c r="H37" s="30">
        <v>5.2299999999999999E-2</v>
      </c>
      <c r="I37" s="105">
        <v>8.9999999999999993E-3</v>
      </c>
      <c r="J37" s="106">
        <v>0.6270136280271762</v>
      </c>
      <c r="K37" s="110">
        <v>0.88826110691885052</v>
      </c>
      <c r="L37" s="60">
        <v>2052</v>
      </c>
      <c r="M37" s="61">
        <v>2052</v>
      </c>
      <c r="N37" s="61">
        <v>0</v>
      </c>
      <c r="O37" s="61">
        <v>0</v>
      </c>
      <c r="P37" s="62">
        <v>0</v>
      </c>
      <c r="Q37" s="20">
        <v>47.366001359999998</v>
      </c>
      <c r="R37" s="18">
        <v>16.83758362</v>
      </c>
      <c r="S37" s="17">
        <v>6572.7800546448098</v>
      </c>
      <c r="T37" s="17">
        <v>200000</v>
      </c>
      <c r="U37" s="17">
        <v>19245100</v>
      </c>
      <c r="V37" s="58">
        <v>0.99</v>
      </c>
      <c r="W37" s="59">
        <v>2.78433936870623E-2</v>
      </c>
      <c r="X37" s="53">
        <v>13.621885419192868</v>
      </c>
      <c r="Y37" s="51">
        <v>3.764346086503227</v>
      </c>
      <c r="Z37" s="51">
        <v>16.543695636590463</v>
      </c>
      <c r="AA37" s="54">
        <v>4.9529146505138613</v>
      </c>
      <c r="AB37" s="20">
        <v>207.162409</v>
      </c>
      <c r="AC37" s="100">
        <v>91.830117000000001</v>
      </c>
      <c r="AD37" s="58">
        <v>1.905570159</v>
      </c>
      <c r="AE37" s="54">
        <v>0.60408306899999997</v>
      </c>
      <c r="AF37" s="98">
        <v>377.3</v>
      </c>
      <c r="AG37" s="31">
        <v>18.791550000000001</v>
      </c>
      <c r="AH37" s="22">
        <v>1054.8</v>
      </c>
      <c r="AI37" s="23">
        <v>12.3970762682174</v>
      </c>
      <c r="AJ37" s="22">
        <v>974.71780000000001</v>
      </c>
      <c r="AK37" s="23">
        <v>13.1649414810701</v>
      </c>
      <c r="AL37" s="24">
        <v>5.9734600000000002</v>
      </c>
      <c r="AM37" s="25">
        <v>0.28294497344890202</v>
      </c>
      <c r="AN37" s="24">
        <v>12.49554</v>
      </c>
      <c r="AO37" s="26">
        <v>3.5982626304926701</v>
      </c>
      <c r="AP37" s="20">
        <v>113.4</v>
      </c>
      <c r="AQ37" s="26">
        <v>7.3006848993775897</v>
      </c>
      <c r="AS37" s="57"/>
      <c r="AT37" s="57"/>
    </row>
    <row r="38" spans="2:46">
      <c r="B38" s="27">
        <v>32</v>
      </c>
      <c r="C38" s="28">
        <v>500</v>
      </c>
      <c r="D38" s="29">
        <v>1290</v>
      </c>
      <c r="E38" s="16">
        <f t="shared" si="0"/>
        <v>387.59689922480618</v>
      </c>
      <c r="F38" s="17">
        <f t="shared" si="2"/>
        <v>440.22545316281196</v>
      </c>
      <c r="G38" s="18">
        <f t="shared" si="1"/>
        <v>645</v>
      </c>
      <c r="H38" s="30">
        <v>4.9200000000000001E-2</v>
      </c>
      <c r="I38" s="105">
        <v>8.3000000000000001E-3</v>
      </c>
      <c r="J38" s="106">
        <v>0.52642045019983386</v>
      </c>
      <c r="K38" s="110">
        <v>0.89005482639217426</v>
      </c>
      <c r="L38" s="60">
        <v>1153</v>
      </c>
      <c r="M38" s="61">
        <v>1153</v>
      </c>
      <c r="N38" s="61">
        <v>0</v>
      </c>
      <c r="O38" s="61">
        <v>0</v>
      </c>
      <c r="P38" s="62">
        <v>0</v>
      </c>
      <c r="Q38" s="20">
        <v>59.458658800000002</v>
      </c>
      <c r="R38" s="18">
        <v>26.779293169999999</v>
      </c>
      <c r="S38" s="17">
        <v>6128.9893617021198</v>
      </c>
      <c r="T38" s="17">
        <v>199600</v>
      </c>
      <c r="U38" s="17">
        <v>9218000</v>
      </c>
      <c r="V38" s="58">
        <v>0.96</v>
      </c>
      <c r="W38" s="59">
        <v>4.9312900369993001E-2</v>
      </c>
      <c r="X38" s="53">
        <v>13.567159006900519</v>
      </c>
      <c r="Y38" s="51">
        <v>4.2904147574711686</v>
      </c>
      <c r="Z38" s="51">
        <v>17.503558871453151</v>
      </c>
      <c r="AA38" s="54">
        <v>5.1281218446067589</v>
      </c>
      <c r="AB38" s="20">
        <v>176.177244</v>
      </c>
      <c r="AC38" s="100">
        <v>76.960352999999998</v>
      </c>
      <c r="AD38" s="58">
        <v>1.855433777</v>
      </c>
      <c r="AE38" s="54">
        <v>0.56505333099999999</v>
      </c>
      <c r="AF38" s="98">
        <v>379.6</v>
      </c>
      <c r="AG38" s="31">
        <v>32.507089999999998</v>
      </c>
      <c r="AH38" s="22">
        <v>1033</v>
      </c>
      <c r="AI38" s="23">
        <v>14.849242404917501</v>
      </c>
      <c r="AJ38" s="22">
        <v>959.25</v>
      </c>
      <c r="AK38" s="23">
        <v>17.7458915433028</v>
      </c>
      <c r="AL38" s="24">
        <v>6.0040250000000004</v>
      </c>
      <c r="AM38" s="25">
        <v>0.35574354409696102</v>
      </c>
      <c r="AN38" s="24">
        <v>10.809100000000001</v>
      </c>
      <c r="AO38" s="26">
        <v>2.72871506512986</v>
      </c>
      <c r="AP38" s="20">
        <v>109</v>
      </c>
      <c r="AQ38" s="26">
        <v>3.16227766016838</v>
      </c>
      <c r="AS38" s="57"/>
      <c r="AT38" s="57"/>
    </row>
    <row r="39" spans="2:46">
      <c r="B39" s="27">
        <v>33</v>
      </c>
      <c r="C39" s="28">
        <v>115</v>
      </c>
      <c r="D39" s="29">
        <v>400</v>
      </c>
      <c r="E39" s="16">
        <f t="shared" si="0"/>
        <v>287.5</v>
      </c>
      <c r="F39" s="17">
        <f t="shared" si="2"/>
        <v>181.83096545968181</v>
      </c>
      <c r="G39" s="18">
        <f t="shared" si="1"/>
        <v>46</v>
      </c>
      <c r="H39" s="30">
        <v>1.5471999999999999</v>
      </c>
      <c r="I39" s="105">
        <v>0.38500000000000001</v>
      </c>
      <c r="J39" s="106">
        <v>4.5077538953762248</v>
      </c>
      <c r="K39" s="110">
        <v>0.84952428230899457</v>
      </c>
      <c r="L39" s="60">
        <v>76806</v>
      </c>
      <c r="M39" s="61">
        <v>76788</v>
      </c>
      <c r="N39" s="61">
        <v>6</v>
      </c>
      <c r="O39" s="61">
        <v>8</v>
      </c>
      <c r="P39" s="62">
        <v>4</v>
      </c>
      <c r="Q39" s="20">
        <v>45.263240359999998</v>
      </c>
      <c r="R39" s="18">
        <v>12.51647839</v>
      </c>
      <c r="S39" s="17">
        <v>4081.4410693180198</v>
      </c>
      <c r="T39" s="17">
        <v>326000</v>
      </c>
      <c r="U39" s="17">
        <v>669935900</v>
      </c>
      <c r="V39" s="58">
        <v>0.99</v>
      </c>
      <c r="W39" s="59">
        <v>3.58760168819365E-2</v>
      </c>
      <c r="X39" s="53">
        <v>12.311401587478867</v>
      </c>
      <c r="Y39" s="51">
        <v>1.0706793989203773</v>
      </c>
      <c r="Z39" s="51">
        <v>14.714722582174417</v>
      </c>
      <c r="AA39" s="54">
        <v>2.396961919750185</v>
      </c>
      <c r="AB39" s="20">
        <v>210.25484399999999</v>
      </c>
      <c r="AC39" s="100">
        <v>115.90030299999999</v>
      </c>
      <c r="AD39" s="58">
        <v>1.918259465</v>
      </c>
      <c r="AE39" s="54">
        <v>0.61879128699999997</v>
      </c>
      <c r="AF39" s="98">
        <v>375.3</v>
      </c>
      <c r="AG39" s="31">
        <v>17.327380000000002</v>
      </c>
      <c r="AH39" s="22">
        <v>954</v>
      </c>
      <c r="AI39" s="23">
        <v>30.3521004215524</v>
      </c>
      <c r="AJ39" s="22">
        <v>901.40060000000005</v>
      </c>
      <c r="AK39" s="23">
        <v>19.780303379877701</v>
      </c>
      <c r="AL39" s="24">
        <v>3.298</v>
      </c>
      <c r="AM39" s="25">
        <v>2.3599406772205098</v>
      </c>
      <c r="AN39" s="24">
        <v>4.3760000000000003</v>
      </c>
      <c r="AO39" s="26">
        <v>3.7781847493207601</v>
      </c>
      <c r="AP39" s="20">
        <v>106.2</v>
      </c>
      <c r="AQ39" s="26">
        <v>8.1670067956381693</v>
      </c>
      <c r="AS39" s="57"/>
      <c r="AT39" s="57"/>
    </row>
    <row r="40" spans="2:46">
      <c r="B40" s="27">
        <v>34</v>
      </c>
      <c r="C40" s="28">
        <v>175</v>
      </c>
      <c r="D40" s="29">
        <v>600</v>
      </c>
      <c r="E40" s="16">
        <f t="shared" si="0"/>
        <v>291.66666666666669</v>
      </c>
      <c r="F40" s="17">
        <f t="shared" si="2"/>
        <v>225.92402852876597</v>
      </c>
      <c r="G40" s="18">
        <f t="shared" si="1"/>
        <v>105</v>
      </c>
      <c r="H40" s="30">
        <v>0.52049999999999996</v>
      </c>
      <c r="I40" s="105">
        <v>0.13919999999999999</v>
      </c>
      <c r="J40" s="106">
        <v>2.1473167343258837</v>
      </c>
      <c r="K40" s="110">
        <v>0.87391861893371703</v>
      </c>
      <c r="L40" s="60">
        <v>40141</v>
      </c>
      <c r="M40" s="61">
        <v>40140</v>
      </c>
      <c r="N40" s="61">
        <v>0</v>
      </c>
      <c r="O40" s="61">
        <v>1</v>
      </c>
      <c r="P40" s="62">
        <v>0</v>
      </c>
      <c r="Q40" s="20">
        <v>47.958373479999999</v>
      </c>
      <c r="R40" s="18">
        <v>13.785703939999999</v>
      </c>
      <c r="S40" s="17">
        <v>3902.5356444239801</v>
      </c>
      <c r="T40" s="17">
        <v>432600</v>
      </c>
      <c r="U40" s="17">
        <v>373070700</v>
      </c>
      <c r="V40" s="58">
        <v>0.98</v>
      </c>
      <c r="W40" s="59">
        <v>3.6159334592317599E-2</v>
      </c>
      <c r="X40" s="53">
        <v>9.4439071090687783</v>
      </c>
      <c r="Y40" s="51">
        <v>2.3515807347361966</v>
      </c>
      <c r="Z40" s="51">
        <v>12.2094478874573</v>
      </c>
      <c r="AA40" s="54">
        <v>0.8025002392538465</v>
      </c>
      <c r="AB40" s="20">
        <v>165.17222899999999</v>
      </c>
      <c r="AC40" s="100">
        <v>62.533897000000003</v>
      </c>
      <c r="AD40" s="58">
        <v>1.8883928029999999</v>
      </c>
      <c r="AE40" s="54">
        <v>0.56584861500000005</v>
      </c>
      <c r="AF40" s="98">
        <v>387.8</v>
      </c>
      <c r="AG40" s="33">
        <v>28.212684302553601</v>
      </c>
      <c r="AH40" s="22">
        <v>1046</v>
      </c>
      <c r="AI40" s="23">
        <v>11.9451873154003</v>
      </c>
      <c r="AJ40" s="22">
        <v>971.56140000000005</v>
      </c>
      <c r="AK40" s="23">
        <v>7.6144172331177096</v>
      </c>
      <c r="AL40" s="24">
        <v>5.69</v>
      </c>
      <c r="AM40" s="25">
        <v>0.34777866524558398</v>
      </c>
      <c r="AN40" s="24">
        <v>8.5519999999999996</v>
      </c>
      <c r="AO40" s="26">
        <v>1.4878575200603099</v>
      </c>
      <c r="AP40" s="20">
        <v>110.8</v>
      </c>
      <c r="AQ40" s="26">
        <v>3.3466401061363</v>
      </c>
      <c r="AS40" s="57"/>
      <c r="AT40" s="57"/>
    </row>
    <row r="41" spans="2:46">
      <c r="B41" s="27">
        <v>35</v>
      </c>
      <c r="C41" s="28">
        <v>295</v>
      </c>
      <c r="D41" s="29">
        <v>1000</v>
      </c>
      <c r="E41" s="16">
        <f t="shared" si="0"/>
        <v>295</v>
      </c>
      <c r="F41" s="17">
        <f t="shared" si="2"/>
        <v>295</v>
      </c>
      <c r="G41" s="18">
        <f t="shared" si="1"/>
        <v>295</v>
      </c>
      <c r="H41" s="30">
        <v>0.15379999999999999</v>
      </c>
      <c r="I41" s="105">
        <v>5.5500000000000001E-2</v>
      </c>
      <c r="J41" s="106">
        <v>0.78137892303564949</v>
      </c>
      <c r="K41" s="110">
        <v>0.88244735881343062</v>
      </c>
      <c r="L41" s="60">
        <v>16145</v>
      </c>
      <c r="M41" s="61">
        <v>16145</v>
      </c>
      <c r="N41" s="61">
        <v>0</v>
      </c>
      <c r="O41" s="61">
        <v>0</v>
      </c>
      <c r="P41" s="62">
        <v>0</v>
      </c>
      <c r="Q41" s="20">
        <v>44.879835069999999</v>
      </c>
      <c r="R41" s="18">
        <v>11.244067080000001</v>
      </c>
      <c r="S41" s="17">
        <v>3842.8435428948001</v>
      </c>
      <c r="T41" s="17">
        <v>698100</v>
      </c>
      <c r="U41" s="17">
        <v>104951900</v>
      </c>
      <c r="V41" s="58">
        <v>0.99</v>
      </c>
      <c r="W41" s="59">
        <v>2.1578081043298902E-2</v>
      </c>
      <c r="X41" s="53">
        <v>10.667805708601138</v>
      </c>
      <c r="Y41" s="51">
        <v>1.4074083778315056</v>
      </c>
      <c r="Z41" s="51">
        <v>12.979735143184726</v>
      </c>
      <c r="AA41" s="54">
        <v>1.4500155761215245</v>
      </c>
      <c r="AB41" s="20">
        <v>223.30505199999999</v>
      </c>
      <c r="AC41" s="100">
        <v>97.667379999999994</v>
      </c>
      <c r="AD41" s="58">
        <v>1.9307265709999999</v>
      </c>
      <c r="AE41" s="54">
        <v>0.64442343999999996</v>
      </c>
      <c r="AF41" s="98">
        <v>389</v>
      </c>
      <c r="AG41" s="31">
        <v>24.855139999999999</v>
      </c>
      <c r="AH41" s="22">
        <v>1074.2</v>
      </c>
      <c r="AI41" s="23">
        <v>18.9917745353087</v>
      </c>
      <c r="AJ41" s="22">
        <v>992.91660000000002</v>
      </c>
      <c r="AK41" s="23">
        <v>21.707159597699601</v>
      </c>
      <c r="AL41" s="24">
        <v>6.07</v>
      </c>
      <c r="AM41" s="25">
        <v>0.27712812921101998</v>
      </c>
      <c r="AN41" s="24">
        <v>13.464</v>
      </c>
      <c r="AO41" s="26">
        <v>1.5175901950131501</v>
      </c>
      <c r="AP41" s="20">
        <v>117.6</v>
      </c>
      <c r="AQ41" s="26">
        <v>4.92950301754649</v>
      </c>
      <c r="AS41" s="57"/>
      <c r="AT41" s="57"/>
    </row>
    <row r="42" spans="2:46">
      <c r="B42" s="27">
        <v>36</v>
      </c>
      <c r="C42" s="28">
        <v>355</v>
      </c>
      <c r="D42" s="29">
        <v>1200</v>
      </c>
      <c r="E42" s="16">
        <f t="shared" si="0"/>
        <v>295.83333333333331</v>
      </c>
      <c r="F42" s="17">
        <f t="shared" si="2"/>
        <v>324.06917985722333</v>
      </c>
      <c r="G42" s="18">
        <f t="shared" si="1"/>
        <v>426</v>
      </c>
      <c r="H42" s="30">
        <v>6.5299999999999997E-2</v>
      </c>
      <c r="I42" s="105">
        <v>2.23E-2</v>
      </c>
      <c r="J42" s="106">
        <v>0.58537705168921339</v>
      </c>
      <c r="K42" s="110">
        <v>0.88859123960854858</v>
      </c>
      <c r="L42" s="60">
        <v>7723</v>
      </c>
      <c r="M42" s="61">
        <v>7723</v>
      </c>
      <c r="N42" s="61">
        <v>0</v>
      </c>
      <c r="O42" s="61">
        <v>0</v>
      </c>
      <c r="P42" s="62">
        <v>0</v>
      </c>
      <c r="Q42" s="20">
        <v>43.241055289999998</v>
      </c>
      <c r="R42" s="18">
        <v>10.015710950000001</v>
      </c>
      <c r="S42" s="17">
        <v>4126.1679479597797</v>
      </c>
      <c r="T42" s="17">
        <v>199800</v>
      </c>
      <c r="U42" s="17">
        <v>41864100</v>
      </c>
      <c r="V42" s="58">
        <v>1</v>
      </c>
      <c r="W42" s="59">
        <v>1.68450595348087E-2</v>
      </c>
      <c r="X42" s="53">
        <v>12.299752066115687</v>
      </c>
      <c r="Y42" s="51">
        <v>1.3995063253800852</v>
      </c>
      <c r="Z42" s="51">
        <v>14.276865391617147</v>
      </c>
      <c r="AA42" s="54">
        <v>2.1094752319697836</v>
      </c>
      <c r="AB42" s="20">
        <v>208.739136</v>
      </c>
      <c r="AC42" s="100">
        <v>90.821608999999995</v>
      </c>
      <c r="AD42" s="58">
        <v>1.9010087309999999</v>
      </c>
      <c r="AE42" s="54">
        <v>0.58195735400000004</v>
      </c>
      <c r="AF42" s="98">
        <v>386</v>
      </c>
      <c r="AG42" s="31">
        <v>23.423629999999999</v>
      </c>
      <c r="AH42" s="22">
        <v>1074.5999999999999</v>
      </c>
      <c r="AI42" s="23">
        <v>13.2759180473518</v>
      </c>
      <c r="AJ42" s="22">
        <v>996.92139999999995</v>
      </c>
      <c r="AK42" s="23">
        <v>12.2705293202861</v>
      </c>
      <c r="AL42" s="24">
        <v>6.0839999999999996</v>
      </c>
      <c r="AM42" s="25">
        <v>0.217899059199437</v>
      </c>
      <c r="AN42" s="24">
        <v>14.086</v>
      </c>
      <c r="AO42" s="26">
        <v>1.8759344338222299</v>
      </c>
      <c r="AP42" s="20">
        <v>114.2</v>
      </c>
      <c r="AQ42" s="26">
        <v>6.2209324059983198</v>
      </c>
      <c r="AS42" s="57"/>
      <c r="AT42" s="57"/>
    </row>
    <row r="43" spans="2:46">
      <c r="B43" s="27">
        <v>37</v>
      </c>
      <c r="C43" s="28">
        <v>475</v>
      </c>
      <c r="D43" s="29">
        <v>1600</v>
      </c>
      <c r="E43" s="16">
        <f t="shared" si="0"/>
        <v>296.875</v>
      </c>
      <c r="F43" s="17">
        <f t="shared" si="2"/>
        <v>375.52047214499504</v>
      </c>
      <c r="G43" s="18">
        <f t="shared" si="1"/>
        <v>760</v>
      </c>
      <c r="H43" s="30">
        <v>4.6948999999999996</v>
      </c>
      <c r="I43" s="105">
        <v>4.8800000000000003E-2</v>
      </c>
      <c r="J43" s="106">
        <v>2.8602928470668716</v>
      </c>
      <c r="K43" s="110">
        <v>0.86673007234039157</v>
      </c>
      <c r="L43" s="60">
        <v>11801</v>
      </c>
      <c r="M43" s="61">
        <v>10864</v>
      </c>
      <c r="N43" s="61">
        <v>691</v>
      </c>
      <c r="O43" s="61">
        <v>210</v>
      </c>
      <c r="P43" s="62">
        <v>36</v>
      </c>
      <c r="Q43" s="20">
        <v>105.09141289999999</v>
      </c>
      <c r="R43" s="18">
        <v>68.632030749999998</v>
      </c>
      <c r="S43" s="17">
        <v>21643.3854000637</v>
      </c>
      <c r="T43" s="17">
        <v>1956700</v>
      </c>
      <c r="U43" s="17">
        <v>339476500</v>
      </c>
      <c r="V43" s="58">
        <v>0.85</v>
      </c>
      <c r="W43" s="59">
        <v>0.123952217158149</v>
      </c>
      <c r="X43" s="53">
        <v>11.126588729695333</v>
      </c>
      <c r="Y43" s="51">
        <v>2.1165872059542661</v>
      </c>
      <c r="Z43" s="51">
        <v>13.319255725875651</v>
      </c>
      <c r="AA43" s="54">
        <v>1.2277041169635829</v>
      </c>
      <c r="AB43" s="20">
        <v>224.113429</v>
      </c>
      <c r="AC43" s="100">
        <v>128.98496600000001</v>
      </c>
      <c r="AD43" s="58">
        <v>1.8911323609999999</v>
      </c>
      <c r="AE43" s="54">
        <v>0.57231047800000001</v>
      </c>
      <c r="AF43" s="98">
        <v>419.9</v>
      </c>
      <c r="AG43" s="31">
        <v>14.66667</v>
      </c>
      <c r="AH43" s="22">
        <v>960.25</v>
      </c>
      <c r="AI43" s="23">
        <v>72.840150329334193</v>
      </c>
      <c r="AJ43" s="22">
        <v>901.5</v>
      </c>
      <c r="AK43" s="23">
        <v>80.043738043647096</v>
      </c>
      <c r="AL43" s="24">
        <v>2.76</v>
      </c>
      <c r="AM43" s="25">
        <v>0.86860040678477102</v>
      </c>
      <c r="AN43" s="24">
        <v>3.0049999999999999</v>
      </c>
      <c r="AO43" s="26">
        <v>1.0906420127612899</v>
      </c>
      <c r="AP43" s="20">
        <v>104</v>
      </c>
      <c r="AQ43" s="26">
        <v>10.551461194229599</v>
      </c>
      <c r="AS43" s="57"/>
      <c r="AT43" s="57"/>
    </row>
    <row r="44" spans="2:46">
      <c r="B44" s="27">
        <v>38</v>
      </c>
      <c r="C44" s="28">
        <v>75</v>
      </c>
      <c r="D44" s="29">
        <v>400</v>
      </c>
      <c r="E44" s="16">
        <f t="shared" si="0"/>
        <v>187.5</v>
      </c>
      <c r="F44" s="17">
        <f t="shared" si="2"/>
        <v>118.58541225631423</v>
      </c>
      <c r="G44" s="18">
        <f t="shared" si="1"/>
        <v>30</v>
      </c>
      <c r="H44" s="30">
        <v>2.9904999999999999</v>
      </c>
      <c r="I44" s="105">
        <v>0.19570000000000001</v>
      </c>
      <c r="J44" s="106">
        <v>5.1688484109151211</v>
      </c>
      <c r="K44" s="110">
        <v>0.84019884942052514</v>
      </c>
      <c r="L44" s="60">
        <v>3179</v>
      </c>
      <c r="M44" s="61">
        <v>2847</v>
      </c>
      <c r="N44" s="61">
        <v>180</v>
      </c>
      <c r="O44" s="61">
        <v>117</v>
      </c>
      <c r="P44" s="62">
        <v>35</v>
      </c>
      <c r="Q44" s="20">
        <v>97.475016289999999</v>
      </c>
      <c r="R44" s="18">
        <v>101.1511639</v>
      </c>
      <c r="S44" s="17">
        <v>7327.3841280426795</v>
      </c>
      <c r="T44" s="17">
        <v>5554000</v>
      </c>
      <c r="U44" s="17">
        <v>439496500</v>
      </c>
      <c r="V44" s="58">
        <v>0.81</v>
      </c>
      <c r="W44" s="59">
        <v>0.20190316435326</v>
      </c>
      <c r="X44" s="53">
        <v>9.7759794918885934</v>
      </c>
      <c r="Y44" s="51">
        <v>2.8508881908167862</v>
      </c>
      <c r="Z44" s="51">
        <v>12.734751451097138</v>
      </c>
      <c r="AA44" s="54">
        <v>3.2309708691958066</v>
      </c>
      <c r="AB44" s="20">
        <v>207.109782</v>
      </c>
      <c r="AC44" s="100">
        <v>95.896287999999998</v>
      </c>
      <c r="AD44" s="58">
        <v>2.242003768</v>
      </c>
      <c r="AE44" s="54">
        <v>0.93727502699999998</v>
      </c>
      <c r="AF44" s="98">
        <v>385.1</v>
      </c>
      <c r="AG44" s="31">
        <v>19.87433</v>
      </c>
      <c r="AH44" s="22">
        <v>848.6</v>
      </c>
      <c r="AI44" s="23">
        <v>118.984242654227</v>
      </c>
      <c r="AJ44" s="22">
        <v>828.68140000000005</v>
      </c>
      <c r="AK44" s="23">
        <v>113.37148684656</v>
      </c>
      <c r="AL44" s="24">
        <v>1.228</v>
      </c>
      <c r="AM44" s="25">
        <v>0.22949945533704399</v>
      </c>
      <c r="AN44" s="24">
        <v>1.262</v>
      </c>
      <c r="AO44" s="26">
        <v>0.29320641193534602</v>
      </c>
      <c r="AP44" s="20">
        <v>100.6</v>
      </c>
      <c r="AQ44" s="26">
        <v>11.0136279218067</v>
      </c>
      <c r="AS44" s="57"/>
      <c r="AT44" s="57"/>
    </row>
    <row r="45" spans="2:46">
      <c r="B45" s="27">
        <v>39</v>
      </c>
      <c r="C45" s="28">
        <v>115</v>
      </c>
      <c r="D45" s="29">
        <v>600</v>
      </c>
      <c r="E45" s="16">
        <f t="shared" si="0"/>
        <v>191.66666666666666</v>
      </c>
      <c r="F45" s="17">
        <f t="shared" si="2"/>
        <v>148.46436160461764</v>
      </c>
      <c r="G45" s="18">
        <f t="shared" si="1"/>
        <v>69</v>
      </c>
      <c r="H45" s="30">
        <v>0.66830000000000001</v>
      </c>
      <c r="I45" s="105">
        <v>0.18110000000000001</v>
      </c>
      <c r="J45" s="106">
        <v>2.3110456025785009</v>
      </c>
      <c r="K45" s="110">
        <v>0.87191952980140042</v>
      </c>
      <c r="L45" s="60">
        <v>46274</v>
      </c>
      <c r="M45" s="61">
        <v>46158</v>
      </c>
      <c r="N45" s="61">
        <v>91</v>
      </c>
      <c r="O45" s="61">
        <v>25</v>
      </c>
      <c r="P45" s="62">
        <v>0</v>
      </c>
      <c r="Q45" s="20">
        <v>44.13914398</v>
      </c>
      <c r="R45" s="18">
        <v>17.248219120000002</v>
      </c>
      <c r="S45" s="17">
        <v>3314.8547045268101</v>
      </c>
      <c r="T45" s="17">
        <v>243900</v>
      </c>
      <c r="U45" s="17">
        <v>339480900</v>
      </c>
      <c r="V45" s="58">
        <v>0.99</v>
      </c>
      <c r="W45" s="59">
        <v>4.49914260005519E-2</v>
      </c>
      <c r="X45" s="53">
        <v>9.7357746294109866</v>
      </c>
      <c r="Y45" s="51">
        <v>1.8691595316989427</v>
      </c>
      <c r="Z45" s="51">
        <v>12.089552350559501</v>
      </c>
      <c r="AA45" s="54">
        <v>1.4644193469275266</v>
      </c>
      <c r="AB45" s="20">
        <v>230.66770399999999</v>
      </c>
      <c r="AC45" s="100">
        <v>109.51372199999999</v>
      </c>
      <c r="AD45" s="58">
        <v>1.972686457</v>
      </c>
      <c r="AE45" s="54">
        <v>0.678157801</v>
      </c>
      <c r="AF45" s="98">
        <v>372</v>
      </c>
      <c r="AG45" s="31">
        <v>18.92089</v>
      </c>
      <c r="AH45" s="22">
        <v>1040.4000000000001</v>
      </c>
      <c r="AI45" s="23">
        <v>32.835765561350897</v>
      </c>
      <c r="AJ45" s="22">
        <v>988.87019999999995</v>
      </c>
      <c r="AK45" s="23">
        <v>32.9086347361904</v>
      </c>
      <c r="AL45" s="24">
        <v>2.71</v>
      </c>
      <c r="AM45" s="25">
        <v>0.557404700374873</v>
      </c>
      <c r="AN45" s="24">
        <v>3.05</v>
      </c>
      <c r="AO45" s="26">
        <v>0.78214448793045799</v>
      </c>
      <c r="AP45" s="20">
        <v>115.8</v>
      </c>
      <c r="AQ45" s="26">
        <v>6.3007936008093504</v>
      </c>
      <c r="AS45" s="57"/>
      <c r="AT45" s="57"/>
    </row>
    <row r="46" spans="2:46">
      <c r="B46" s="27">
        <v>40</v>
      </c>
      <c r="C46" s="28">
        <v>195</v>
      </c>
      <c r="D46" s="29">
        <v>1000</v>
      </c>
      <c r="E46" s="16">
        <f t="shared" si="0"/>
        <v>195</v>
      </c>
      <c r="F46" s="17">
        <f t="shared" si="2"/>
        <v>195</v>
      </c>
      <c r="G46" s="18">
        <f t="shared" si="1"/>
        <v>195</v>
      </c>
      <c r="H46" s="30">
        <v>0.11409999999999999</v>
      </c>
      <c r="I46" s="105">
        <v>1.6E-2</v>
      </c>
      <c r="J46" s="106">
        <v>0.35309700829320134</v>
      </c>
      <c r="K46" s="110">
        <v>0.89102104849276786</v>
      </c>
      <c r="L46" s="60">
        <v>11094</v>
      </c>
      <c r="M46" s="61">
        <v>11094</v>
      </c>
      <c r="N46" s="61">
        <v>0</v>
      </c>
      <c r="O46" s="61">
        <v>0</v>
      </c>
      <c r="P46" s="62">
        <v>0</v>
      </c>
      <c r="Q46" s="20">
        <v>44.263846569999998</v>
      </c>
      <c r="R46" s="18">
        <v>11.110197469999999</v>
      </c>
      <c r="S46" s="17">
        <v>3605.7476581473302</v>
      </c>
      <c r="T46" s="17">
        <v>199700</v>
      </c>
      <c r="U46" s="17">
        <v>62357800</v>
      </c>
      <c r="V46" s="58">
        <v>1</v>
      </c>
      <c r="W46" s="59">
        <v>1.5412079230955399E-2</v>
      </c>
      <c r="X46" s="53">
        <v>10.791682353841445</v>
      </c>
      <c r="Y46" s="51">
        <v>1.0078431825857534</v>
      </c>
      <c r="Z46" s="51">
        <v>12.004001462814101</v>
      </c>
      <c r="AA46" s="54">
        <v>0.81700179850363697</v>
      </c>
      <c r="AB46" s="20">
        <v>204.69949700000001</v>
      </c>
      <c r="AC46" s="100">
        <v>100.634957</v>
      </c>
      <c r="AD46" s="58">
        <v>1.874943536</v>
      </c>
      <c r="AE46" s="54">
        <v>0.57071989199999995</v>
      </c>
      <c r="AF46" s="98">
        <v>378.2</v>
      </c>
      <c r="AG46" s="31">
        <v>16.824590000000001</v>
      </c>
      <c r="AH46" s="22">
        <v>1110.8</v>
      </c>
      <c r="AI46" s="23">
        <v>25.617376914899001</v>
      </c>
      <c r="AJ46" s="22">
        <v>1047.3832</v>
      </c>
      <c r="AK46" s="23">
        <v>23.3396274863161</v>
      </c>
      <c r="AL46" s="24">
        <v>6.2859999999999996</v>
      </c>
      <c r="AM46" s="25">
        <v>0.41782771569152799</v>
      </c>
      <c r="AN46" s="24">
        <v>14.22</v>
      </c>
      <c r="AO46" s="26">
        <v>1.3995177740922</v>
      </c>
      <c r="AP46" s="20">
        <v>118.4</v>
      </c>
      <c r="AQ46" s="26">
        <v>7.7006493232713797</v>
      </c>
      <c r="AS46" s="57"/>
      <c r="AT46" s="57"/>
    </row>
    <row r="47" spans="2:46">
      <c r="B47" s="27">
        <v>41</v>
      </c>
      <c r="C47" s="28">
        <v>235</v>
      </c>
      <c r="D47" s="29">
        <v>1200</v>
      </c>
      <c r="E47" s="16">
        <f t="shared" si="0"/>
        <v>195.83333333333334</v>
      </c>
      <c r="F47" s="17">
        <f t="shared" si="2"/>
        <v>214.52466835619006</v>
      </c>
      <c r="G47" s="18">
        <f t="shared" si="1"/>
        <v>282</v>
      </c>
      <c r="H47" s="30">
        <v>1.32E-2</v>
      </c>
      <c r="I47" s="105">
        <v>5.5999999999999999E-3</v>
      </c>
      <c r="J47" s="106">
        <v>0.33898771847232206</v>
      </c>
      <c r="K47" s="110">
        <v>0.89165326557192837</v>
      </c>
      <c r="L47" s="60">
        <v>2052</v>
      </c>
      <c r="M47" s="61">
        <v>2052</v>
      </c>
      <c r="N47" s="61">
        <v>0</v>
      </c>
      <c r="O47" s="61">
        <v>0</v>
      </c>
      <c r="P47" s="62">
        <v>0</v>
      </c>
      <c r="Q47" s="20">
        <v>41.093378749999999</v>
      </c>
      <c r="R47" s="18">
        <v>8.6213671309999995</v>
      </c>
      <c r="S47" s="17">
        <v>13627.2066836178</v>
      </c>
      <c r="T47" s="17">
        <v>197900</v>
      </c>
      <c r="U47" s="17">
        <v>37515700</v>
      </c>
      <c r="V47" s="58">
        <v>1</v>
      </c>
      <c r="W47" s="59">
        <v>1.14863342674542E-2</v>
      </c>
      <c r="X47" s="53">
        <v>11.512821395775951</v>
      </c>
      <c r="Y47" s="51">
        <v>0.23050128995622798</v>
      </c>
      <c r="Z47" s="51">
        <v>12.33987036500125</v>
      </c>
      <c r="AA47" s="54">
        <v>0.95322075019050034</v>
      </c>
      <c r="AB47" s="20">
        <v>227.74914000000001</v>
      </c>
      <c r="AC47" s="100">
        <v>103.10633900000001</v>
      </c>
      <c r="AD47" s="58">
        <v>1.9290996380000001</v>
      </c>
      <c r="AE47" s="54">
        <v>0.61300605600000002</v>
      </c>
      <c r="AF47" s="98">
        <v>386.1</v>
      </c>
      <c r="AG47" s="31">
        <v>28.077079999999999</v>
      </c>
      <c r="AH47" s="22">
        <v>1113</v>
      </c>
      <c r="AI47" s="23">
        <v>25.044959572736399</v>
      </c>
      <c r="AJ47" s="22">
        <v>1047.8316</v>
      </c>
      <c r="AK47" s="23">
        <v>24.4138442855688</v>
      </c>
      <c r="AL47" s="24">
        <v>6.2320000000000002</v>
      </c>
      <c r="AM47" s="25">
        <v>0.40959736327276303</v>
      </c>
      <c r="AN47" s="24">
        <v>15.382</v>
      </c>
      <c r="AO47" s="26">
        <v>1.2985260875315501</v>
      </c>
      <c r="AP47" s="20">
        <v>116.6</v>
      </c>
      <c r="AQ47" s="26">
        <v>6.2689712074629904</v>
      </c>
      <c r="AS47" s="57"/>
      <c r="AT47" s="57"/>
    </row>
    <row r="48" spans="2:46" ht="16" thickBot="1">
      <c r="B48" s="34">
        <v>42</v>
      </c>
      <c r="C48" s="35">
        <v>315</v>
      </c>
      <c r="D48" s="36">
        <v>1600</v>
      </c>
      <c r="E48" s="37">
        <f t="shared" si="0"/>
        <v>196.875</v>
      </c>
      <c r="F48" s="39">
        <f t="shared" si="2"/>
        <v>249.02936573825986</v>
      </c>
      <c r="G48" s="38">
        <f t="shared" si="1"/>
        <v>504</v>
      </c>
      <c r="H48" s="40">
        <v>9.7000000000000003E-3</v>
      </c>
      <c r="I48" s="40">
        <v>3.8E-3</v>
      </c>
      <c r="J48" s="107">
        <v>0.38689183377421432</v>
      </c>
      <c r="K48" s="111">
        <v>0.89092334079370705</v>
      </c>
      <c r="L48" s="66">
        <v>288</v>
      </c>
      <c r="M48" s="67">
        <v>288</v>
      </c>
      <c r="N48" s="67">
        <v>0</v>
      </c>
      <c r="O48" s="67">
        <v>0</v>
      </c>
      <c r="P48" s="68">
        <v>0</v>
      </c>
      <c r="Q48" s="41">
        <v>51.69388507</v>
      </c>
      <c r="R48" s="38">
        <v>15.5925612</v>
      </c>
      <c r="S48" s="39">
        <v>30227.940492794001</v>
      </c>
      <c r="T48" s="39">
        <v>345900</v>
      </c>
      <c r="U48" s="39">
        <v>65020300</v>
      </c>
      <c r="V48" s="64">
        <v>0.98</v>
      </c>
      <c r="W48" s="65">
        <v>3.8085529866279E-2</v>
      </c>
      <c r="X48" s="55">
        <v>11.15686276743822</v>
      </c>
      <c r="Y48" s="52">
        <v>2.0659926818257426</v>
      </c>
      <c r="Z48" s="52">
        <v>13.572293750504812</v>
      </c>
      <c r="AA48" s="56">
        <v>1.9264892000493539</v>
      </c>
      <c r="AB48" s="41">
        <v>234.272648</v>
      </c>
      <c r="AC48" s="52">
        <v>112.60496000000001</v>
      </c>
      <c r="AD48" s="64">
        <v>1.998918832</v>
      </c>
      <c r="AE48" s="56">
        <v>0.66833835100000005</v>
      </c>
      <c r="AF48" s="99">
        <v>400.4</v>
      </c>
      <c r="AG48" s="42">
        <v>10.199400000000001</v>
      </c>
      <c r="AH48" s="43">
        <v>1078.8</v>
      </c>
      <c r="AI48" s="44">
        <v>36.690427907016797</v>
      </c>
      <c r="AJ48" s="43">
        <v>1013.8074</v>
      </c>
      <c r="AK48" s="44">
        <v>28.557284076046201</v>
      </c>
      <c r="AL48" s="45">
        <v>5.5620000000000003</v>
      </c>
      <c r="AM48" s="46">
        <v>1.63228980270049</v>
      </c>
      <c r="AN48" s="45">
        <v>11.768000000000001</v>
      </c>
      <c r="AO48" s="47">
        <v>5.4679127644833496</v>
      </c>
      <c r="AP48" s="41">
        <v>116.4</v>
      </c>
      <c r="AQ48" s="47">
        <v>7.5033325929216304</v>
      </c>
      <c r="AS48" s="57"/>
      <c r="AT48" s="57"/>
    </row>
    <row r="49" spans="8:27"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</row>
    <row r="50" spans="8:27"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</row>
    <row r="51" spans="8:27"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</row>
    <row r="52" spans="8:27"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</row>
  </sheetData>
  <sortState xmlns:xlrd2="http://schemas.microsoft.com/office/spreadsheetml/2017/richdata2" ref="B7:AO48">
    <sortCondition ref="B7:B48"/>
  </sortState>
  <mergeCells count="27">
    <mergeCell ref="H5:I5"/>
    <mergeCell ref="J5:K5"/>
    <mergeCell ref="H3:AE3"/>
    <mergeCell ref="Q5:R5"/>
    <mergeCell ref="V5:W5"/>
    <mergeCell ref="AB5:AC5"/>
    <mergeCell ref="AB4:AE4"/>
    <mergeCell ref="B4:B6"/>
    <mergeCell ref="C4:D5"/>
    <mergeCell ref="E4:G5"/>
    <mergeCell ref="AF4:AG5"/>
    <mergeCell ref="AD5:AE5"/>
    <mergeCell ref="L4:AA4"/>
    <mergeCell ref="L5:P5"/>
    <mergeCell ref="S5:U5"/>
    <mergeCell ref="X5:AA5"/>
    <mergeCell ref="AF3:AQ3"/>
    <mergeCell ref="AH4:AQ4"/>
    <mergeCell ref="AJ5:AK5"/>
    <mergeCell ref="AL5:AM5"/>
    <mergeCell ref="AN5:AO5"/>
    <mergeCell ref="AP5:AQ5"/>
    <mergeCell ref="AH5:AI5"/>
    <mergeCell ref="B2:G2"/>
    <mergeCell ref="B1:P1"/>
    <mergeCell ref="B3:G3"/>
    <mergeCell ref="H2:P2"/>
  </mergeCells>
  <phoneticPr fontId="3" type="noConversion"/>
  <conditionalFormatting sqref="C7:C48">
    <cfRule type="colorScale" priority="37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D7:D48">
    <cfRule type="colorScale" priority="36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E7:F48">
    <cfRule type="colorScale" priority="35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G7:G48">
    <cfRule type="colorScale" priority="34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AF7:AF48">
    <cfRule type="dataBar" priority="27">
      <dataBar>
        <cfvo type="num" val="300"/>
        <cfvo type="max"/>
        <color theme="8" tint="0.39997558519241921"/>
      </dataBar>
      <extLst>
        <ext xmlns:x14="http://schemas.microsoft.com/office/spreadsheetml/2009/9/main" uri="{B025F937-C7B1-47D3-B67F-A62EFF666E3E}">
          <x14:id>{14908D11-76F1-4DF7-9C49-99667B462AC1}</x14:id>
        </ext>
      </extLst>
    </cfRule>
  </conditionalFormatting>
  <conditionalFormatting sqref="AH7:AH48">
    <cfRule type="dataBar" priority="26">
      <dataBar>
        <cfvo type="num" val="800"/>
        <cfvo type="max"/>
        <color theme="8" tint="0.39997558519241921"/>
      </dataBar>
      <extLst>
        <ext xmlns:x14="http://schemas.microsoft.com/office/spreadsheetml/2009/9/main" uri="{B025F937-C7B1-47D3-B67F-A62EFF666E3E}">
          <x14:id>{B0ADBFE9-A169-4FDA-8B8E-2CC4DED8AFEC}</x14:id>
        </ext>
      </extLst>
    </cfRule>
  </conditionalFormatting>
  <conditionalFormatting sqref="AJ7:AJ48">
    <cfRule type="dataBar" priority="18">
      <dataBar>
        <cfvo type="num" val="800"/>
        <cfvo type="max"/>
        <color theme="8" tint="0.39997558519241921"/>
      </dataBar>
      <extLst>
        <ext xmlns:x14="http://schemas.microsoft.com/office/spreadsheetml/2009/9/main" uri="{B025F937-C7B1-47D3-B67F-A62EFF666E3E}">
          <x14:id>{303366C6-0D0C-4F16-BC74-8C7707E17D1E}</x14:id>
        </ext>
      </extLst>
    </cfRule>
  </conditionalFormatting>
  <conditionalFormatting sqref="AL7:AL48">
    <cfRule type="dataBar" priority="17">
      <dataBar>
        <cfvo type="num" val="2"/>
        <cfvo type="max"/>
        <color theme="8" tint="0.39997558519241921"/>
      </dataBar>
      <extLst>
        <ext xmlns:x14="http://schemas.microsoft.com/office/spreadsheetml/2009/9/main" uri="{B025F937-C7B1-47D3-B67F-A62EFF666E3E}">
          <x14:id>{BA91AC16-5F54-451E-8D7A-3A6394EC5FF1}</x14:id>
        </ext>
      </extLst>
    </cfRule>
  </conditionalFormatting>
  <conditionalFormatting sqref="AN7:AN48">
    <cfRule type="dataBar" priority="16">
      <dataBar>
        <cfvo type="num" val="4"/>
        <cfvo type="max"/>
        <color theme="8" tint="0.39997558519241921"/>
      </dataBar>
      <extLst>
        <ext xmlns:x14="http://schemas.microsoft.com/office/spreadsheetml/2009/9/main" uri="{B025F937-C7B1-47D3-B67F-A62EFF666E3E}">
          <x14:id>{B80656D5-699B-4AFB-9B21-1E4D416F4C17}</x14:id>
        </ext>
      </extLst>
    </cfRule>
  </conditionalFormatting>
  <conditionalFormatting sqref="AP7:AP48">
    <cfRule type="dataBar" priority="15">
      <dataBar>
        <cfvo type="num" val="100"/>
        <cfvo type="max"/>
        <color theme="8" tint="0.39997558519241921"/>
      </dataBar>
      <extLst>
        <ext xmlns:x14="http://schemas.microsoft.com/office/spreadsheetml/2009/9/main" uri="{B025F937-C7B1-47D3-B67F-A62EFF666E3E}">
          <x14:id>{509EB012-5B28-4439-9138-9D552A712C7B}</x14:id>
        </ext>
      </extLst>
    </cfRule>
  </conditionalFormatting>
  <conditionalFormatting sqref="L7:L48">
    <cfRule type="dataBar" priority="13">
      <dataBar>
        <cfvo type="num" val="0"/>
        <cfvo type="max"/>
        <color theme="7" tint="0.59999389629810485"/>
      </dataBar>
      <extLst>
        <ext xmlns:x14="http://schemas.microsoft.com/office/spreadsheetml/2009/9/main" uri="{B025F937-C7B1-47D3-B67F-A62EFF666E3E}">
          <x14:id>{3463C64C-108A-4A55-9EA8-0388134C8D2F}</x14:id>
        </ext>
      </extLst>
    </cfRule>
  </conditionalFormatting>
  <conditionalFormatting sqref="M7:M48">
    <cfRule type="dataBar" priority="12">
      <dataBar>
        <cfvo type="num" val="0"/>
        <cfvo type="max"/>
        <color theme="7" tint="0.59999389629810485"/>
      </dataBar>
      <extLst>
        <ext xmlns:x14="http://schemas.microsoft.com/office/spreadsheetml/2009/9/main" uri="{B025F937-C7B1-47D3-B67F-A62EFF666E3E}">
          <x14:id>{AAEF32ED-75A0-4173-91B1-99E51E2D3A6E}</x14:id>
        </ext>
      </extLst>
    </cfRule>
  </conditionalFormatting>
  <conditionalFormatting sqref="AB7:AB48">
    <cfRule type="dataBar" priority="7">
      <dataBar>
        <cfvo type="min"/>
        <cfvo type="max"/>
        <color theme="7" tint="0.59999389629810485"/>
      </dataBar>
      <extLst>
        <ext xmlns:x14="http://schemas.microsoft.com/office/spreadsheetml/2009/9/main" uri="{B025F937-C7B1-47D3-B67F-A62EFF666E3E}">
          <x14:id>{71257293-3DBB-4190-9DAB-30B0B586E651}</x14:id>
        </ext>
      </extLst>
    </cfRule>
  </conditionalFormatting>
  <conditionalFormatting sqref="AD7:AD48">
    <cfRule type="dataBar" priority="6">
      <dataBar>
        <cfvo type="num" val="0.8"/>
        <cfvo type="max"/>
        <color theme="7" tint="0.59999389629810485"/>
      </dataBar>
      <extLst>
        <ext xmlns:x14="http://schemas.microsoft.com/office/spreadsheetml/2009/9/main" uri="{B025F937-C7B1-47D3-B67F-A62EFF666E3E}">
          <x14:id>{FF744F5A-BFAD-4222-B3ED-FFEECAFF9D5D}</x14:id>
        </ext>
      </extLst>
    </cfRule>
  </conditionalFormatting>
  <conditionalFormatting sqref="H7:H48">
    <cfRule type="dataBar" priority="4">
      <dataBar>
        <cfvo type="min"/>
        <cfvo type="num" val="2"/>
        <color theme="7" tint="0.59999389629810485"/>
      </dataBar>
      <extLst>
        <ext xmlns:x14="http://schemas.microsoft.com/office/spreadsheetml/2009/9/main" uri="{B025F937-C7B1-47D3-B67F-A62EFF666E3E}">
          <x14:id>{0301F896-4F9E-478E-8692-57F06F0633B1}</x14:id>
        </ext>
      </extLst>
    </cfRule>
  </conditionalFormatting>
  <conditionalFormatting sqref="J7:J48">
    <cfRule type="dataBar" priority="3">
      <dataBar>
        <cfvo type="min"/>
        <cfvo type="num" val="2"/>
        <color theme="7" tint="0.59999389629810485"/>
      </dataBar>
      <extLst>
        <ext xmlns:x14="http://schemas.microsoft.com/office/spreadsheetml/2009/9/main" uri="{B025F937-C7B1-47D3-B67F-A62EFF666E3E}">
          <x14:id>{2D28E061-C7ED-405C-A819-CDF5B29C49AA}</x14:id>
        </ext>
      </extLst>
    </cfRule>
  </conditionalFormatting>
  <conditionalFormatting sqref="Q7:Q48">
    <cfRule type="dataBar" priority="2">
      <dataBar>
        <cfvo type="min"/>
        <cfvo type="max"/>
        <color theme="7" tint="0.59999389629810485"/>
      </dataBar>
      <extLst>
        <ext xmlns:x14="http://schemas.microsoft.com/office/spreadsheetml/2009/9/main" uri="{B025F937-C7B1-47D3-B67F-A62EFF666E3E}">
          <x14:id>{8332763D-5C2D-4EB9-B520-516F12FCC1FB}</x14:id>
        </ext>
      </extLst>
    </cfRule>
  </conditionalFormatting>
  <conditionalFormatting sqref="V7:V48">
    <cfRule type="dataBar" priority="1">
      <dataBar>
        <cfvo type="num" val="0.8"/>
        <cfvo type="max"/>
        <color theme="7" tint="0.59999389629810485"/>
      </dataBar>
      <extLst>
        <ext xmlns:x14="http://schemas.microsoft.com/office/spreadsheetml/2009/9/main" uri="{B025F937-C7B1-47D3-B67F-A62EFF666E3E}">
          <x14:id>{7991066F-C9FC-4BD2-BC56-A1D1A6838BDC}</x14:id>
        </ext>
      </extLst>
    </cfRule>
  </conditionalFormatting>
  <pageMargins left="0" right="0" top="0" bottom="0" header="0" footer="0"/>
  <pageSetup scale="40" fitToWidth="0" fitToHeight="0"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14908D11-76F1-4DF7-9C49-99667B462AC1}">
            <x14:dataBar minLength="0" maxLength="100" gradient="0">
              <x14:cfvo type="num">
                <xm:f>300</xm:f>
              </x14:cfvo>
              <x14:cfvo type="autoMax"/>
              <x14:negativeFillColor rgb="FFFF0000"/>
              <x14:axisColor rgb="FF000000"/>
            </x14:dataBar>
          </x14:cfRule>
          <xm:sqref>AF7:AF48</xm:sqref>
        </x14:conditionalFormatting>
        <x14:conditionalFormatting xmlns:xm="http://schemas.microsoft.com/office/excel/2006/main">
          <x14:cfRule type="dataBar" id="{B0ADBFE9-A169-4FDA-8B8E-2CC4DED8AFEC}">
            <x14:dataBar minLength="0" maxLength="100" gradient="0">
              <x14:cfvo type="num">
                <xm:f>800</xm:f>
              </x14:cfvo>
              <x14:cfvo type="autoMax"/>
              <x14:negativeFillColor rgb="FFFF0000"/>
              <x14:axisColor rgb="FF000000"/>
            </x14:dataBar>
          </x14:cfRule>
          <xm:sqref>AH7:AH48</xm:sqref>
        </x14:conditionalFormatting>
        <x14:conditionalFormatting xmlns:xm="http://schemas.microsoft.com/office/excel/2006/main">
          <x14:cfRule type="dataBar" id="{303366C6-0D0C-4F16-BC74-8C7707E17D1E}">
            <x14:dataBar minLength="0" maxLength="100" gradient="0">
              <x14:cfvo type="num">
                <xm:f>800</xm:f>
              </x14:cfvo>
              <x14:cfvo type="autoMax"/>
              <x14:negativeFillColor rgb="FFFF0000"/>
              <x14:axisColor rgb="FF000000"/>
            </x14:dataBar>
          </x14:cfRule>
          <xm:sqref>AJ7:AJ48</xm:sqref>
        </x14:conditionalFormatting>
        <x14:conditionalFormatting xmlns:xm="http://schemas.microsoft.com/office/excel/2006/main">
          <x14:cfRule type="dataBar" id="{BA91AC16-5F54-451E-8D7A-3A6394EC5FF1}">
            <x14:dataBar minLength="0" maxLength="100" gradient="0">
              <x14:cfvo type="num">
                <xm:f>2</xm:f>
              </x14:cfvo>
              <x14:cfvo type="autoMax"/>
              <x14:negativeFillColor rgb="FFFF0000"/>
              <x14:axisColor rgb="FF000000"/>
            </x14:dataBar>
          </x14:cfRule>
          <xm:sqref>AL7:AL48</xm:sqref>
        </x14:conditionalFormatting>
        <x14:conditionalFormatting xmlns:xm="http://schemas.microsoft.com/office/excel/2006/main">
          <x14:cfRule type="dataBar" id="{B80656D5-699B-4AFB-9B21-1E4D416F4C17}">
            <x14:dataBar minLength="0" maxLength="100" gradient="0">
              <x14:cfvo type="num">
                <xm:f>4</xm:f>
              </x14:cfvo>
              <x14:cfvo type="autoMax"/>
              <x14:negativeFillColor rgb="FFFF0000"/>
              <x14:axisColor rgb="FF000000"/>
            </x14:dataBar>
          </x14:cfRule>
          <xm:sqref>AN7:AN48</xm:sqref>
        </x14:conditionalFormatting>
        <x14:conditionalFormatting xmlns:xm="http://schemas.microsoft.com/office/excel/2006/main">
          <x14:cfRule type="dataBar" id="{509EB012-5B28-4439-9138-9D552A712C7B}">
            <x14:dataBar minLength="0" maxLength="100" gradient="0">
              <x14:cfvo type="num">
                <xm:f>100</xm:f>
              </x14:cfvo>
              <x14:cfvo type="autoMax"/>
              <x14:negativeFillColor rgb="FFFF0000"/>
              <x14:axisColor rgb="FF000000"/>
            </x14:dataBar>
          </x14:cfRule>
          <xm:sqref>AP7:AP48</xm:sqref>
        </x14:conditionalFormatting>
        <x14:conditionalFormatting xmlns:xm="http://schemas.microsoft.com/office/excel/2006/main">
          <x14:cfRule type="dataBar" id="{3463C64C-108A-4A55-9EA8-0388134C8D2F}">
            <x14:dataBar minLength="0" maxLength="100" gradient="0" direction="leftToRight">
              <x14:cfvo type="num">
                <xm:f>0</xm:f>
              </x14:cfvo>
              <x14:cfvo type="autoMax"/>
              <x14:negativeFillColor rgb="FFFF0000"/>
              <x14:axisColor rgb="FF000000"/>
            </x14:dataBar>
          </x14:cfRule>
          <xm:sqref>L7:L48</xm:sqref>
        </x14:conditionalFormatting>
        <x14:conditionalFormatting xmlns:xm="http://schemas.microsoft.com/office/excel/2006/main">
          <x14:cfRule type="dataBar" id="{AAEF32ED-75A0-4173-91B1-99E51E2D3A6E}">
            <x14:dataBar minLength="0" maxLength="100" gradient="0" direction="leftToRight">
              <x14:cfvo type="num">
                <xm:f>0</xm:f>
              </x14:cfvo>
              <x14:cfvo type="autoMax"/>
              <x14:negativeFillColor rgb="FFFF0000"/>
              <x14:axisColor rgb="FF000000"/>
            </x14:dataBar>
          </x14:cfRule>
          <xm:sqref>M7:M48</xm:sqref>
        </x14:conditionalFormatting>
        <x14:conditionalFormatting xmlns:xm="http://schemas.microsoft.com/office/excel/2006/main">
          <x14:cfRule type="dataBar" id="{71257293-3DBB-4190-9DAB-30B0B586E651}">
            <x14:dataBar minLength="0" maxLength="100" gradient="0" direction="leftToRight">
              <x14:cfvo type="autoMin"/>
              <x14:cfvo type="autoMax"/>
              <x14:negativeFillColor rgb="FFFF0000"/>
              <x14:axisColor rgb="FF000000"/>
            </x14:dataBar>
          </x14:cfRule>
          <xm:sqref>AB7:AB48</xm:sqref>
        </x14:conditionalFormatting>
        <x14:conditionalFormatting xmlns:xm="http://schemas.microsoft.com/office/excel/2006/main">
          <x14:cfRule type="dataBar" id="{FF744F5A-BFAD-4222-B3ED-FFEECAFF9D5D}">
            <x14:dataBar minLength="0" maxLength="100" gradient="0" direction="leftToRight">
              <x14:cfvo type="num">
                <xm:f>0.8</xm:f>
              </x14:cfvo>
              <x14:cfvo type="autoMax"/>
              <x14:negativeFillColor rgb="FFFF0000"/>
              <x14:axisColor rgb="FF000000"/>
            </x14:dataBar>
          </x14:cfRule>
          <xm:sqref>AD7:AD48</xm:sqref>
        </x14:conditionalFormatting>
        <x14:conditionalFormatting xmlns:xm="http://schemas.microsoft.com/office/excel/2006/main">
          <x14:cfRule type="dataBar" id="{0301F896-4F9E-478E-8692-57F06F0633B1}">
            <x14:dataBar minLength="0" maxLength="100" gradient="0" direction="leftToRight">
              <x14:cfvo type="autoMin"/>
              <x14:cfvo type="num">
                <xm:f>2</xm:f>
              </x14:cfvo>
              <x14:negativeFillColor rgb="FFFF0000"/>
              <x14:axisColor rgb="FF000000"/>
            </x14:dataBar>
          </x14:cfRule>
          <xm:sqref>H7:H48</xm:sqref>
        </x14:conditionalFormatting>
        <x14:conditionalFormatting xmlns:xm="http://schemas.microsoft.com/office/excel/2006/main">
          <x14:cfRule type="dataBar" id="{2D28E061-C7ED-405C-A819-CDF5B29C49AA}">
            <x14:dataBar minLength="0" maxLength="100" gradient="0" direction="leftToRight">
              <x14:cfvo type="autoMin"/>
              <x14:cfvo type="num">
                <xm:f>2</xm:f>
              </x14:cfvo>
              <x14:negativeFillColor rgb="FFFF0000"/>
              <x14:axisColor rgb="FF000000"/>
            </x14:dataBar>
          </x14:cfRule>
          <xm:sqref>J7:J48</xm:sqref>
        </x14:conditionalFormatting>
        <x14:conditionalFormatting xmlns:xm="http://schemas.microsoft.com/office/excel/2006/main">
          <x14:cfRule type="dataBar" id="{8332763D-5C2D-4EB9-B520-516F12FCC1FB}">
            <x14:dataBar minLength="0" maxLength="100" gradient="0" direction="leftToRight">
              <x14:cfvo type="autoMin"/>
              <x14:cfvo type="autoMax"/>
              <x14:negativeFillColor rgb="FFFF0000"/>
              <x14:axisColor rgb="FF000000"/>
            </x14:dataBar>
          </x14:cfRule>
          <xm:sqref>Q7:Q48</xm:sqref>
        </x14:conditionalFormatting>
        <x14:conditionalFormatting xmlns:xm="http://schemas.microsoft.com/office/excel/2006/main">
          <x14:cfRule type="dataBar" id="{7991066F-C9FC-4BD2-BC56-A1D1A6838BDC}">
            <x14:dataBar minLength="0" maxLength="100" gradient="0" direction="leftToRight">
              <x14:cfvo type="num">
                <xm:f>0.8</xm:f>
              </x14:cfvo>
              <x14:cfvo type="autoMax"/>
              <x14:negativeFillColor rgb="FFFF0000"/>
              <x14:axisColor rgb="FF000000"/>
            </x14:dataBar>
          </x14:cfRule>
          <xm:sqref>V7:V48</xm:sqref>
        </x14:conditionalFormatting>
      </x14:conditionalFormatting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AE2816E44124D4EAC50EE55289EDB1B" ma:contentTypeVersion="13" ma:contentTypeDescription="Create a new document." ma:contentTypeScope="" ma:versionID="898a625b8ff82241918a1fa6de43b1db">
  <xsd:schema xmlns:xsd="http://www.w3.org/2001/XMLSchema" xmlns:xs="http://www.w3.org/2001/XMLSchema" xmlns:p="http://schemas.microsoft.com/office/2006/metadata/properties" xmlns:ns2="e590fea8-b43e-4be5-abf1-9cc087fb0ca9" xmlns:ns3="6de238ee-0c3b-46c4-ae48-b7b3be2bec59" targetNamespace="http://schemas.microsoft.com/office/2006/metadata/properties" ma:root="true" ma:fieldsID="3db8fc972c838a7f92a0685859fd739c" ns2:_="" ns3:_="">
    <xsd:import namespace="e590fea8-b43e-4be5-abf1-9cc087fb0ca9"/>
    <xsd:import namespace="6de238ee-0c3b-46c4-ae48-b7b3be2bec5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590fea8-b43e-4be5-abf1-9cc087fb0ca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5" nillable="true" ma:displayName="Location" ma:internalName="MediaServiceLocation" ma:readOnly="true">
      <xsd:simpleType>
        <xsd:restriction base="dms:Text"/>
      </xsd:simpleType>
    </xsd:element>
    <xsd:element name="MediaLengthInSeconds" ma:index="16" nillable="true" ma:displayName="Length (seconds)" ma:internalName="MediaLengthInSeconds" ma:readOnly="true">
      <xsd:simpleType>
        <xsd:restriction base="dms:Unknown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de238ee-0c3b-46c4-ae48-b7b3be2bec59" elementFormDefault="qualified">
    <xsd:import namespace="http://schemas.microsoft.com/office/2006/documentManagement/types"/>
    <xsd:import namespace="http://schemas.microsoft.com/office/infopath/2007/PartnerControls"/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C83D561D-CD96-43D2-818C-8FA278172E90}">
  <ds:schemaRefs>
    <ds:schemaRef ds:uri="http://schemas.microsoft.com/office/2006/documentManagement/types"/>
    <ds:schemaRef ds:uri="http://purl.org/dc/terms/"/>
    <ds:schemaRef ds:uri="http://purl.org/dc/dcmitype/"/>
    <ds:schemaRef ds:uri="http://www.w3.org/XML/1998/namespace"/>
    <ds:schemaRef ds:uri="http://purl.org/dc/elements/1.1/"/>
    <ds:schemaRef ds:uri="e590fea8-b43e-4be5-abf1-9cc087fb0ca9"/>
    <ds:schemaRef ds:uri="http://schemas.microsoft.com/office/2006/metadata/properties"/>
    <ds:schemaRef ds:uri="http://schemas.microsoft.com/office/infopath/2007/PartnerControls"/>
    <ds:schemaRef ds:uri="http://schemas.openxmlformats.org/package/2006/metadata/core-properties"/>
    <ds:schemaRef ds:uri="6de238ee-0c3b-46c4-ae48-b7b3be2bec59"/>
  </ds:schemaRefs>
</ds:datastoreItem>
</file>

<file path=customXml/itemProps2.xml><?xml version="1.0" encoding="utf-8"?>
<ds:datastoreItem xmlns:ds="http://schemas.openxmlformats.org/officeDocument/2006/customXml" ds:itemID="{76C086A6-8299-49C6-866B-6F1EA1FA890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590fea8-b43e-4be5-abf1-9cc087fb0ca9"/>
    <ds:schemaRef ds:uri="6de238ee-0c3b-46c4-ae48-b7b3be2bec5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D02185A1-4F1C-45C2-A969-0D14D8595AD2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7cf48d45-3ddb-4389-a9c1-c115526eb52e}" enabled="0" method="" siteId="{7cf48d45-3ddb-4389-a9c1-c115526eb52e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PSP linkage</vt:lpstr>
      <vt:lpstr>'PSP linkage'!Print_Area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Microsoft Office User</dc:creator>
  <cp:keywords/>
  <dc:description/>
  <cp:lastModifiedBy>Luo, Qixiang</cp:lastModifiedBy>
  <cp:revision/>
  <cp:lastPrinted>2021-09-14T21:35:12Z</cp:lastPrinted>
  <dcterms:created xsi:type="dcterms:W3CDTF">2021-06-25T16:54:00Z</dcterms:created>
  <dcterms:modified xsi:type="dcterms:W3CDTF">2022-09-26T20:36:34Z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1033-11.2.0.10223</vt:lpwstr>
  </property>
  <property fmtid="{D5CDD505-2E9C-101B-9397-08002B2CF9AE}" pid="3" name="ContentTypeId">
    <vt:lpwstr>0x0101004AE2816E44124D4EAC50EE55289EDB1B</vt:lpwstr>
  </property>
  <property fmtid="{D5CDD505-2E9C-101B-9397-08002B2CF9AE}" pid="4" name="Order">
    <vt:r8>273200</vt:r8>
  </property>
</Properties>
</file>